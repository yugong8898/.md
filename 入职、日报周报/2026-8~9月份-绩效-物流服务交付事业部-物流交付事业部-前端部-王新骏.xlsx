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Height="16460" tabRatio="784" activeTab="6"/>
  </bookViews>
  <sheets>
    <sheet name="填写说明" sheetId="19" r:id="rId1"/>
    <sheet name="部门负责人" sheetId="11" r:id="rId2"/>
    <sheet name="部门负责人明细" sheetId="13" r:id="rId3"/>
    <sheet name="产品岗" sheetId="12" r:id="rId4"/>
    <sheet name="产品岗明细" sheetId="3" r:id="rId5"/>
    <sheet name="研发岗" sheetId="14" r:id="rId6"/>
    <sheet name="研发岗明细" sheetId="5" r:id="rId7"/>
    <sheet name="测试岗" sheetId="15" r:id="rId8"/>
    <sheet name="测试岗明细" sheetId="6" r:id="rId9"/>
    <sheet name="安全运维岗" sheetId="16" r:id="rId10"/>
    <sheet name="安全运维岗明细" sheetId="7" r:id="rId11"/>
    <sheet name="设计岗" sheetId="17" r:id="rId12"/>
    <sheet name="设计岗明细" sheetId="8" r:id="rId13"/>
    <sheet name="项管岗" sheetId="23" r:id="rId14"/>
    <sheet name="项管岗明细" sheetId="22" r:id="rId15"/>
    <sheet name="知识产权岗" sheetId="24" r:id="rId16"/>
    <sheet name="知识产权岗明细" sheetId="25" r:id="rId17"/>
  </sheets>
  <externalReferences>
    <externalReference r:id="rId19"/>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<sst xmlns="http://schemas.openxmlformats.org/spreadsheetml/2006/main" count="549" uniqueCount="165">
  <si>
    <t>产品岗举例</t>
  </si>
  <si>
    <t>1. 选择对应岗位的表单进行填写（如没有对应的岗位表单，选择指标与评分标准相近的岗位表单填写）</t>
  </si>
  <si>
    <t>2. 填写《产品岗明细》</t>
  </si>
  <si>
    <r>
      <rPr>
        <sz val="14"/>
        <color theme="1"/>
        <rFont val="微软雅黑"/>
        <charset val="134"/>
      </rPr>
      <t>3.检查《产品岗》中未映射事项并进行完善</t>
    </r>
    <r>
      <rPr>
        <sz val="14"/>
        <color rgb="FF0070C0"/>
        <rFont val="微软雅黑"/>
        <charset val="134"/>
      </rPr>
      <t>（《产品岗》与《产品明细》中部分有公式已直接映射）</t>
    </r>
  </si>
  <si>
    <t>绩效评价表</t>
  </si>
  <si>
    <t xml:space="preserve">姓名：            岗位：                     部门：                                      </t>
  </si>
  <si>
    <t>评价维度</t>
  </si>
  <si>
    <t>权重（%）</t>
  </si>
  <si>
    <t>成果总结</t>
  </si>
  <si>
    <t>自评</t>
  </si>
  <si>
    <t>上级评分</t>
  </si>
  <si>
    <t>最终得分
（上级评分*权重）</t>
  </si>
  <si>
    <t>本部门重点项目贡献</t>
  </si>
  <si>
    <t>岗位核心职责完成情况</t>
  </si>
  <si>
    <t>价值观及行为（包括但不限于团队协作、扛责担当、客户导向、人才发展（包括带教新人、知识传承、自我学习与提升）等）</t>
  </si>
  <si>
    <t>总分</t>
  </si>
  <si>
    <t>员工签字：
签字日期：</t>
  </si>
  <si>
    <t>直接上级签字：
签字日期：</t>
  </si>
  <si>
    <t xml:space="preserve">              姓名：                                                           岗位：                                                               部门：</t>
  </si>
  <si>
    <t>整体权重</t>
  </si>
  <si>
    <t>绩效指标</t>
  </si>
  <si>
    <t>指标定义/说明</t>
  </si>
  <si>
    <t>目标值</t>
  </si>
  <si>
    <t>评分标准</t>
  </si>
  <si>
    <t>自评
（百分制）</t>
  </si>
  <si>
    <t>上级评分（百分制）</t>
  </si>
  <si>
    <t>部门评分（百分制）</t>
  </si>
  <si>
    <t>得分</t>
  </si>
  <si>
    <t xml:space="preserve">本部门重点项目贡献
</t>
  </si>
  <si>
    <t>重点项目目标达成率</t>
  </si>
  <si>
    <t>部门年度核心重点项目的目标落地与成果价值实现</t>
  </si>
  <si>
    <t>1. 所有重点项目核心目标超额达成，成果对业务有显著增益（90-100 分）
2. 所有重点项目核心目标全部达成，成果完全符合预期（80-89 分）
3. 多数重点项目目标达成，仅个别项目略有差距且不影响整体（70-79 分）
4. 部分重点项目目标未达成，对整体价值有轻微影响（60-69 分）
5. 核心重点项目目标未达成，成果未实现核心价值（＜60 分）</t>
  </si>
  <si>
    <t>重点项目资源统筹效率</t>
  </si>
  <si>
    <t>重点项目中内外部资源的调配、利用与协同效果</t>
  </si>
  <si>
    <t>1. 资源调配精准高效，无闲置或短缺，全力支撑项目推进（90-100 分）
2. 资源调配合理，偶有微调但不影响项目整体节奏（80-89 分）
3. 资源调配基本适配，轻微问题可及时解决（70-79 分）
4. 资源调配存在偏差，对项目进度有一定影响（60-69 分）
5. 资源调配混乱，导致项目严重受阻或延期（＜60 分）</t>
  </si>
  <si>
    <t>部门年度任务完成率</t>
  </si>
  <si>
    <t>部门年度常规工作、核心 KPI 的整体完成效果</t>
  </si>
  <si>
    <t>1. 所有任务高质量完成，部分工作超出预期要求（90-100 分）
2. 所有任务按标准完成，无质量或进度问题（80-89 分）
3. 多数任务顺利完成，仅少数存在轻微瑕疵（70-79 分）
4. 部分任务未完成，或完成质量有明显不足（60-69 分）
5. 多项核心任务未完成，整体效果未达基本要求（＜60 分）</t>
  </si>
  <si>
    <t>团队核心成果交付质量</t>
  </si>
  <si>
    <t>部门团队输出核心成果的质量与内外部反馈</t>
  </si>
  <si>
    <t>1. 成果质量突出，内外部客户高度认可（90-100 分）
2. 成果质量达标，内外部无任何负面反馈（80-89 分）
3. 成果质量基本合格，客户反馈无严重问题（70-79 分）
4. 成果质量有明显瑕疵，客户存在轻微不满（60-69 分）
5. 成果质量不达标，客户反馈负面且影响合作（＜60 分）</t>
  </si>
  <si>
    <t>部门运营合规性</t>
  </si>
  <si>
    <t>部门日常运营中预算、流程、风险防控的合规表现</t>
  </si>
  <si>
    <t>1. 全年无任何合规问题，运营规范有序（90-100 分）
2. 仅存在极轻微疏漏，及时整改无任何影响（80-89 分）
3. 合规问题较少，整改及时未造成风险（70-79 分）
4. 存在一定合规问题，需重点关注并整改（60-69 分）
5. 合规问题严重，引发管理风险或资源损失（＜60 分）</t>
  </si>
  <si>
    <t>跨部门协同效率</t>
  </si>
  <si>
    <t>与其他部门协作的顺畅度、响应度与问题解决效果</t>
  </si>
  <si>
    <t>1. 主动发起协同，快速响应需求，高效解决跨部门问题（90-100 分）
2. 积极配合协作，响应及时，跨部门事务顺利推进（80-89 分）
3. 配合完成必要协作，响应及时，问题基本解决（70-79 分）
4. 被动参与协作，响应滞后，跨部门问题解决不顺畅（60-69 分）
5. 抵触跨部门协作，响应迟缓，问题长期未解决（＜60 分）</t>
  </si>
  <si>
    <t>价值观及行为</t>
  </si>
  <si>
    <t>团队引领与人才发展</t>
  </si>
  <si>
    <t>部门员工培养、梯队建设、士气激励的整体表现</t>
  </si>
  <si>
    <t>1. 积极培养骨干人才，团队梯队清晰，士气高涨凝聚力强（90-100 分）
2. 重视人才培养，核心员工稳定，团队士气积极向上（80-89 分）
3. 完成基础人才带教，核心员工留存良好，团队氛围平稳（70-79 分）
4. 人才培养动作不足，带教效果一般，团队士气平淡（60-69 分）
5. 无人才培养意识，核心员工流失，团队士气低迷（＜60 分）</t>
  </si>
  <si>
    <t>责任担当与决策力</t>
  </si>
  <si>
    <t>面对问题、突发状况的担当态度及决策落地效果</t>
  </si>
  <si>
    <t>1. 主动承担责任，决策科学精准，落地效果超预期（90-100 分）
2. 不推诿责任，决策合理可行，落地效果完全达标（80-89 分）
3. 坚守自身责任，决策无明显失误，落地效果基本达标（70-79 分）
4. 偶尔推诿责任，决策存在小失误但无严重影响（60-69 分）
5. 频繁推卸责任，决策失误，给部门造成损失（＜60 分）</t>
  </si>
  <si>
    <t>文化传承与协作共赢</t>
  </si>
  <si>
    <t>践行公司核心价值观、推动部门文化及跨团队协作表现</t>
  </si>
  <si>
    <t>1. 主动传播公司文化，牵头跨部门协作并获广泛认可（90-100 分）
2. 自觉践行文化要求，积极参与协作，无任何协作冲突（80-89 分）
3. 遵守文化规范，配合完成协作，无明显问题（70-79 分）
4. 文化践行不足，协作态度被动，存在轻微冲突（60-69 分）
5. 违背核心价值观，抵触协作，冲突频繁影响工作（＜60 分）</t>
  </si>
  <si>
    <t>员工签字： 
签字日期：</t>
  </si>
  <si>
    <t>直接上级签字：
签字日期：</t>
  </si>
  <si>
    <t>部门评分</t>
  </si>
  <si>
    <t>任务目标达成率</t>
  </si>
  <si>
    <t>作为所负责需求产品经理，任务排期，按期保质达成项目评审工作（依据《产品工作任务书》</t>
  </si>
  <si>
    <t>满分100：每项需求评审，明确需求内容与边界，完成需求分析（需求分析文档）、产品设计（产品原型、业务流程），确保产品目标最终按时达成。最终产品评审通过作为目标达成标准。
1：完成工作完成率，得到对应的分数。
2：工作评审等级为中、高级，评审次数大于2次，每次扣5分。
3：得分=完成率得分-评审扣分
4：此分值最高为100分。</t>
  </si>
  <si>
    <t>设计与文档输出</t>
  </si>
  <si>
    <t>按时保质完成设计（产品原型、流程图、需求分析），保证需求完整性和质量标准《设计规范标准》</t>
  </si>
  <si>
    <t>满分100
1：设计完整，符合需求，符合设计标准，能够满足用户需求并具有创新性（90-100）
2：设计基本完整，需求基本满足，与设计标准匹配度较高，能够满足大部分用户需求（80-89）
3：设计基本完成，需求基本满足，与设计标准匹配度一般，能够满足部分用户需求（60-79）
4：设计不完整，需求未完全满足，与设计标准匹配度低，不能满足用户需求（50-59）
5：设计缺失严重，需求未满足，与设计标准匹配度极低，无法满足用户需求（0-49）</t>
  </si>
  <si>
    <t>知识分享</t>
  </si>
  <si>
    <t>自身针对战略、市场、产品、项目管理等分享</t>
  </si>
  <si>
    <t>满分100：
1：分享大于等于1次，得100:
2：分享0次，得0分；</t>
  </si>
  <si>
    <t>制度与规范执行</t>
  </si>
  <si>
    <t>严格执行公司、部门制度与规范</t>
  </si>
  <si>
    <t>满分100：
1:优严格执行公司和部门制度与规范，无违规行为，积极配合上级安排，绩效突出，对公司发展做出了重要贡献（90-100）
2:大部分时间严格执行公司和部门制度与规范，偶有违规行为但及时改正，工作表现稳定，对公司发展有一定贡献（80-89）
3:一般地执行公司和部门制度与规范，偶有违规行为，需要改进，工作表现一般，对公司发展贡献有限（60-79）
4:经常违反公司和部门制度与规范，严重影响团队和公司的正常运转，需要立即改进，工作表现较差，对公司发展没有贡献（50-59）
5:严重违反公司和部门制度与规范，严重影响公司形象和利益，造成重大损失，需要立即纠正，对公司发展没有任何贡献（0-49）</t>
  </si>
  <si>
    <t>工作能力</t>
  </si>
  <si>
    <t>沟通能力</t>
  </si>
  <si>
    <t>1：具有出色的口头沟通技巧，简明扼要，易于理解（90-100分）
2：口头沟通能够表达出意图，重点突出，较容易理解（80-89分）
3：口头沟通基本能够表达意图，重点比较突出，偶尔需要重复说明（70-79分）
4：口头表达语言组织欠清晰，但尚能表达出意图，有时需要反复解释（60-69分）
5：口头表达含糊其辞，根本表达不清（60分以下）</t>
  </si>
  <si>
    <t>执行能力</t>
  </si>
  <si>
    <t>1：具有出色的执行力，无需上级指导，执行效果经常超出上级的想象（90-100分）
2：具有较强的执行力，在上级的指导下，能够完成任务，执行效果很好（80-89分）
3：执行力可满足岗位的要求，但缺乏独立思考和计划的能力，需要上级在方法上给予支持，执行效果较好（70-79分）
4：执行力一般，偶尔有推脱或畏难现象，执行过程经常需要上级的帮助，执行效果一般（60-69分）
5：初步具有执行意识，但执行延迟，经常出现推脱或畏难现象，需要特别关注和帮助，执行力较弱（60分以下）</t>
  </si>
  <si>
    <t>业务能力和水平</t>
  </si>
  <si>
    <t>1：精通本岗位所要求的理论知识和专业技能（90-100分）
2：全面了解并较好的掌握与本岗位有关的理论知识和专业技能（80-89分）
3：基本掌握与本岗位有关的专业知识，对本岗位业务有一定了解，但尚需提高（70-79分）
4：对本岗位专业知识有一定了解，但不够深入（60-69分）
5：业务知识欠缺，业务生疏，经常出现失误（60分以下）</t>
  </si>
  <si>
    <t>工作态度</t>
  </si>
  <si>
    <t>工作的态度</t>
  </si>
  <si>
    <t>1：积极主动承担各种工作任务，完成过程中有自己的思考，可提出自己独到的想法（90-100分）
2：对于领导交待的任务不折不扣的执行，积极主动解决过程中的各种问题（80-89分）
3：对于领导交待的任务积极的执行，偶尔需要在领导的指导下才可顺利完成（70-79分）
4：对于领导交待的任务，大多接受的较为被动，需在领导的多次指导下才可完成（60-69分）
5：完全被动的接受任务，主动性欠缺，任务完成质量较差（60分以下）</t>
  </si>
  <si>
    <t>团队协作</t>
  </si>
  <si>
    <t>主动配合团队工作、分享产品经验 / 知识（如内部分享、案例输出）、协助同事解决工作难题的表现</t>
  </si>
  <si>
    <t>1：主动发起团队协作，高频分享有价值经验，积极协助同事解决复杂难题，成为团队协作核心角色（90-100分）
2：积极配合团队安排，主动分享经验，能协助同事解决常规难题，无协作推诿情况（80-89分）
3：配合团队基础协作要求，偶尔分享经验，同事求助时能提供基础协助，无明显协作问题（70-79分）
4：被动参与协作，较少分享经验，同事求助时响应消极，存在轻微协作推诿（60-69 分）
5：拒绝配合团队协作，不分享经验，回避同事求助，严重影响团队协作效率（60分以下）</t>
  </si>
  <si>
    <t>扛责担当</t>
  </si>
  <si>
    <t>面对工作问题（如需求偏差、项目风险）的态度，及关键任务的承接表现</t>
  </si>
  <si>
    <t>1：主动发现并承担问题责任，积极推动解决方案，主动争抢关键 / 困难任务，不回避挑战（90-100分）
2：不推诿已发现的问题责任，能配合推动解决，关键任务安排后能积极承接，不抱怨（80-89分）
3：不主动承担额外责任，但自身负责范围内的问题不推诿，关键任务安排后能接受，无明显抵触（70-79分）
4：自身负责范围内的问题偶尔推诿，关键任务安排后被动接受，存在抱怨情绪（60-69 分）
5：频繁推诿各类问题责任，拒绝承接关键任务，回避工作挑战，影响任务推进（60分以下）</t>
  </si>
  <si>
    <t>客户导向</t>
  </si>
  <si>
    <t>关注业务方 / 用户需求，及基于反馈优化工作的表现</t>
  </si>
  <si>
    <t>1：主动高频对接客户获取反馈，深度分析需求痛点，主动推动基于反馈的产品优化，获得客户高度认可（90-100分）
2：定期对接客户获取反馈，能分析反馈并推动基础优化，客户无负面评价（80-89分）
3：按要求对接客户获取反馈，能响应反馈并做简单调整，客户无明显负面评价（70-79分）
4：需提醒才对接客户，反馈收集不完整，仅部分响应反馈，客户存在轻微负面评价（60-69 分）
5. 拒绝对接客户，不收集反馈，无视客户需求，客户存在严重负面评价（60分以下）</t>
  </si>
  <si>
    <t>人才发展</t>
  </si>
  <si>
    <t>带教新人、自我学习提升、知识传承的综合表现</t>
  </si>
  <si>
    <t>1：主动带教新人并帮助其快速成长，自主规划高频学习（如课程、行业研究），主动输出高质量知识文档，成为团队学习 / 传承标杆（90-100分）
2：按要求带教新人并帮助其达标，有固定学习计划（如定期课程），按要求输出知识文档，无明显不足（80-89分）
3：带教新人时能解答疑问，有基础学习行为，能配合输出简单知识文档，基本达标（70-79分）
4：带教新人时敷衍解答，学习行为零散无计划，知识文档需多次催促才输出，质量较差（60-69 分）
5：拒绝带教新人，无学习行为，不输出知识文档，阻碍团队人才发展 / 知识传承（60分以下）</t>
  </si>
  <si>
    <t xml:space="preserve">              姓名：  王新骏                                                        岗位： 高级前端开发                                                          部门：物流服务交付事业群/业务平台事业部/前端部/结算前端组</t>
  </si>
  <si>
    <t>项目/任务指标</t>
  </si>
  <si>
    <t>工作任务按计划、交付标准完成率</t>
  </si>
  <si>
    <t>任务完成率：本季度个人主导并高质量完成 TMS 结算服务迁移（CHJY-23808）、结算信息支持修改回单付（CHJY-21625）、TMS 支持融合网货撮合运单（CHJY-25144）、服务大厅二级频道扩充（RZMP-8178）等核心需求，覆盖 TMS 结算平台、物流 Web 端、货主移动端、企服运营后台等多业务线，整体任务按计划完成率达 95% 以上，交付达成率 100%，所有需求均按期上线。
交付质量：主导 TMS 结算服务迁移，将客户对账、日常收支、在途费用等 42 个接口、5 大模块由老链路切换至独立 TMS 结算服务，设计接口级灰度开关配合三层静默兜底机制（开关异常、新服务异常、启动失败均自动回退老链路），实现 20 个页面组件零改动、仅 5 个列表页接入开关刷新，切换过程无业务中断；结算信息支持修改回单付（C147.9）为直接影响资金准确性的核心链路改造，通过 BigNumber 精度控制与触发来源区分，PC 与 H5 双端行为一致，上线后运行稳定无资金类事故；9 月独立承接企服线首个核心模块，从 0 搭建活动专区、智能体市场、行业资讯三个二级频道约 8000 行代码，采用模块化 + 可配置化架构，后续新增频道边际成本极低。上线后系统运行稳定，无重大生产事故。</t>
  </si>
  <si>
    <t>满分100：包含以下二项内容：
（一）工作任务完成率满分70
1、工作任务按计划完成率大于90% 60-70
2、工作任务按计划完成率 80%-90% 50-59
3、工作任务按计划完成率 70%-80%  40-49
4、工作任务按计划完成率 小于70%  40以下
（二）工作质量 满分30分，每个重大缺陷扣10分
大于3次重大缺陷时，（一）（二）两项均记为0分</t>
  </si>
  <si>
    <t>任务所属项目按计划、交付标准达成率</t>
  </si>
  <si>
    <t>1、项目按时保质交付上线90-100
2、项目交付时间每次延迟时间小于10%扣5分，大于10%以上扣10分
说明：因新增，变更需求（PCR通过审核），按调整后的项目完成时间为准</t>
  </si>
  <si>
    <t>交付质量</t>
  </si>
  <si>
    <t>用户体验、生产问题</t>
  </si>
  <si>
    <t>交付质量：本季度代码交付质量稳定，提测前均进行自测与 ESLint 校验，提测后无重大 Bug。TMS 结算服务迁移（CHJY-23808）与企服线服务大厅二级频道扩充（RZMP-8178）两项核心模块投入周期长、架构复杂度高，前者涉及 42 个接口的跨服务切换与历史重复接口治理，后者为从 0 搭建的新项目首个核心功能，两项交付后均运行稳定，无核心用户体验投诉。
专业技术与规范：迁移过程中主动阅读 @wlydfe/service 请求组装源码，确认两种接口前缀写法最终路径等价后统一在途费用重复定义的问题，收敛历史隐患；严格遵循开发规范执行全流程，需求改动同步维护改动清单与接口说明文档，TMS 迁移累计产出 5 份方案文档（含 42 个接口逐个标注服务与数据表的梳理表），技术文档完整准确且及时更新；主动与后端沟通对接，确保技术实现与业务目标高度对齐，流程合规度 100%。</t>
  </si>
  <si>
    <t>交付质量，满分100
无生产问题，无用户体验问题，90-100分；
不构成生产问题，但对用户体验有影响，80-89分；
造成关键功能、数据影响，但快速修复，60-79分；
造成生产线事故，60分以下</t>
  </si>
  <si>
    <t>专业技术指标</t>
  </si>
  <si>
    <t>代码缺陷率，依据任务提测后的测试组提交的缺陷数量</t>
  </si>
  <si>
    <t>满分100，超过目标值一个，至少扣10分，出现重大bug，至少扣20分</t>
  </si>
  <si>
    <t>技术文档（设计、接口文档\测试用例）的完整、有效、正确编制</t>
  </si>
  <si>
    <t>满分100，每次不符合要求，至少扣5分</t>
  </si>
  <si>
    <t>流程规范</t>
  </si>
  <si>
    <t>工作流程、规范符合度</t>
  </si>
  <si>
    <t>依据产研部发布的《工作流程、规范》要求，每次不符合规范流程，以规范中的扣分标准执行；规范中未明确的情况，根据实际情况补充发布的规范扣分</t>
  </si>
  <si>
    <t>责任心与协作</t>
  </si>
  <si>
    <t>工作职责与分工、高效协作、执行力、主动性</t>
  </si>
  <si>
    <t>1. 责任心与协作： 主动承接 TMS 结算服务迁移（CHJY-23808）这一跨服务、跨团队的架构改造任务，独立完成 42 个接口的前端侧梳理与方案设计，逐个标注对应服务与数据表，输出交接文档作为前后端协作基准；积极配合产品、测试及后端同事，在后端服务拆分与网关配置期间主动同步进度、对齐风险，保障迁移平稳落地。
2. 主动思考与沟通： 针对服务迁移的全量切换风险，独立设计「接口级灰度开关 + 开关关/未命中/异常三层静默兜底」方案，并补充静默请求、并发去重、时间节流、启动不阻断等细节实现，将页面层改动收敛至 5 处；针对企服线二级频道的可扩展性要求，主动采用模块目录隔离 + 组合式函数复用的架构设计；延续 Q2 的 AI 辅助开发实践，将 AI 工具链从单一 Skill 扩展为覆盖需求分析、代码分析、代码审查、缺陷排查、知识沉淀的完整体系，并沉淀 12 篇研发流程 SOP 文档供团队使用。
3. 扛责担当与客户导向： 结算信息支持修改回单付（C147.9）涉及资金计算且需 PC/H5 双端行为一致，主动识别并处理浮点精度、异常数据、移动端键盘限制等多类边界问题；C169.6 融合网货撮合运单横跨 TMS PC 端、物流 Web 端、货主移动端三端并行交付，按业务方诉求快速响应多轮调整（期间需求调整类变更 11 次），保障功能按期上线。
4. 人才发展与知识传承： 保持高频学习与输出，主动梳理 TMS 结算迁移、企服线二级频道配置等新技术难点并形成改动清单、方案文档与改动清单；建立 AI 辅助开发四端规则同步与知识库自动生成机制，将知识库维护从手工转为脚本产出，降低团队重复劳动成本。</t>
  </si>
  <si>
    <t>1、积极主动执行工作任务并主动做好团队成员间的协同分工，工作执行效果经常超出上级预期（90-100分）
2、按上级要求执行安排的工作任务，可以与团队成员做好协作分工，工作执行效果符合预期（80-89分）
3、未完全按上级要求执行工作任务，团队协作分工中表现一般，偶尔还需要在领导的指导下才可完成任务或偶尔不能完成任务（70-79分）
4、未完全按上级要求执行工作任务，团队协作性较差，需在领导的多次指导下才可完成或经常性的完不成任务（60-69分）
5、完全不按照上级的要求执行工作任务，完全没有团队协作意识，工作任务完成质量差或总是的不成任务（60分以下）</t>
  </si>
  <si>
    <t>主动思考与沟通</t>
  </si>
  <si>
    <t>主动思考工作内容、方法；
主动与工作对象沟通</t>
  </si>
  <si>
    <t>1、独立主动思考问题解决办法，主动与工作伙伴进行沟通，沟通简明扼要，易于理解；（90-100分）
2、在上级的指引下才能思考出问题的解决办法，与工作伙伴基于工作任务的正常沟通，重点突出，较容易理解；（80-89分）
3、需要上级较多的指引共同思考问题的解决办法，与工作伙伴只是基于工作问题的沟通，沟通效果一般，需要重复说明，对方才能明白；（70-79分）
4、需要上级较多的指引共同思考问题的解决办法，与工作伙伴沟通较少，语言组织欠清晰，但尚能表达出意图，有时需要反复解释；（60-69分）
5、不能独立思考问题的解决办法，与工作伙伴沟通较少，口头表达含糊其辞，根本表达不清（60分以下）
根据员工思考问题及沟通方面的表现综合评分</t>
  </si>
  <si>
    <t>测试覆盖率</t>
  </si>
  <si>
    <t>测试关键场景、回归测试覆盖达标率，依据《测试用例》</t>
  </si>
  <si>
    <t>满分100
1、关键场景测试达标率100%保质完成测试100
2、每遗漏一个重要场景扣10分
3、因遗漏重要场景导致生产事故 0~60</t>
  </si>
  <si>
    <t>测试文档的完整、有效、正确编制</t>
  </si>
  <si>
    <t xml:space="preserve">员工签字：                                         
签字日期： </t>
  </si>
  <si>
    <t>直接上级签字：                                       
签字日期：</t>
  </si>
  <si>
    <t>依据《运维组季度工作任务计划》的工作目标按计划、交付标准完成率</t>
  </si>
  <si>
    <t>系统运维</t>
  </si>
  <si>
    <t>生产系统/UAT之数据库运行状况监控</t>
  </si>
  <si>
    <t>满分100：
1、工作执行不到位，导致非阻断性问题，每次扣10分
2、导致重大问题，一次至少扣20分
3、每月执行良好，当月无扣分情况，加10分</t>
  </si>
  <si>
    <t>生产系统/UAT之数据库脚本审核，优化</t>
  </si>
  <si>
    <t>用友NC数据库的日常运维及月度巡检</t>
  </si>
  <si>
    <t>数据管理</t>
  </si>
  <si>
    <t>理解现有业务，规划数据域划分，及相关落地实施工作</t>
  </si>
  <si>
    <t>满分100：保质完成100/影响体验，无重大影响80/造成关键功能、数据影响，快速修复60/造成生产线事故0~40</t>
  </si>
  <si>
    <t>其他工作</t>
  </si>
  <si>
    <t>运维组其他工作</t>
  </si>
  <si>
    <t>每次不符合规范流程，至少扣10分</t>
  </si>
  <si>
    <t>基于工作职责与分工，自主工作，高效协作</t>
  </si>
  <si>
    <t>主动思考工作内容、方法；主动与工作对象沟通</t>
  </si>
  <si>
    <t>员工签字：                                                              
签字日期：</t>
  </si>
  <si>
    <t>直接上级签字：                                                       
签字日期：</t>
  </si>
  <si>
    <t>按时保质完成UI设计，交互设计</t>
  </si>
  <si>
    <t>满分100：
1：按时完成或超额完成（90-100分）
2：工作完成80%以上（80-89分）
3：由于个人原因未完成工作（60-79分）
4：工作严重延迟（0-59分）</t>
  </si>
  <si>
    <t>需求认可度</t>
  </si>
  <si>
    <t>需求方针对交付成果的认可程度</t>
  </si>
  <si>
    <t>满分100
根据设计的视觉效果、交互的流畅性。
因客观技术原因，如网络、设备原因造成实施效果差除外。</t>
  </si>
  <si>
    <t>1：具有出色的口头沟通技巧，简明扼要，易于理解；（90-100分）
2：口头沟通能够表达出意图，重点突出，较容易理解；（80-89分）
3：口头沟通基本能够表达意图，重点比较突出，偶尔需要重复说明；（70-79分）
4：口头表达语言组织欠清晰，但尚能表达出意图，有时需要反复解释；（60-69分）
5：口头表达含糊其辞，根本表达不清（60分以下）</t>
  </si>
  <si>
    <t>员工签字：
签字日期：</t>
  </si>
  <si>
    <t>核心目标达成率（衡量项目经理所负责的重点项目在既定周期内，是否按计划完成里程碑节点、交付物及核心KPI）</t>
  </si>
  <si>
    <t xml:space="preserve">满分100：
90-100分（卓越）：所有重点项目均按计划或超前完成核心目标；关键结果（KRs）达成率≥110%；在遇到重大风险时，仍能通过有效手段确保结果超出预期。
75-89分（优秀）：核心目标整体达成，关键结果达成率在 95%-109% 之间；虽有部分非关键节点延期或微调，但未影响最终交付质量与业务价值。
60-74分（合格）：核心目标基本达成，关键结果达成率在 80%-94% 之间；存在1-2项次要目标未完成，或主要节点有延期但通过赶工补救。
60分以下（待改进）：核心目标未达成，关键结果达成率低于80%；出现重大里程碑延期、关键交付物缺失或项目结果未通过验收。
</t>
  </si>
  <si>
    <t>跨部门协同与资源整合效能（衡量项目经理在推动项目过程中，打破部门壁垒、整合内外部资源、协调解决冲突的效率与质量，以及上下游部门的满意度。）</t>
  </si>
  <si>
    <t>满分100
90-100分（卓越）：主动建立高效的跨部门协作机制，能提前预判并化解资源冲突；在关键资源获取或跨部门配合上获得强力支持，项目推动顺畅；相关部门满意度评分 ≥95分。
75-89分（优秀）：能有效协调跨部门资源，未因协同问题导致项目停滞；出现的一般性资源冲突能在3个工作日内解决；相关部门满意度评分在 85-94分。
60-74分（合格）：基本能协调所需资源，但偶尔因沟通不畅导致5个工作日以上的延误；需要上级介入才能解决部分跨部门争议；相关部门满意度评分在 70-84分。
60分以下（待改进）：多次因跨部门推诿或资源协调不力导致项目关键路径受阻；经常因沟通问题引发部门间矛盾，影响团队士气；相关部门满意度评分 低于70分。</t>
  </si>
  <si>
    <t>战略价值与过程资产沉淀（衡量项目成果对部门/公司的战略支撑度，以及在项目过程中知识沉淀、流程优化、风险防控机制建设的贡献。）</t>
  </si>
  <si>
    <t>满分100：
90-100分（卓越）：项目成果直接支撑部门或公司一级战略落地，形成可复用的标准化流程、工具或方法论并在部门内推广；成功沉淀关键过程资产，显著提升后续同类项目效率 ≥20%；或有效规避了重大潜在风险（如合规、安全）。
75-89分（优秀）：项目成果符合部门战略方向；完成项目复盘，产出了有价值的复盘报告或案例库；建立了较为完善的项目文档管理体系，对后续工作有较好的参考价值。
60-74分（合格）：项目成果与部门战略方向无偏离；按要求提交了项目总结和必要的文档，但资产沉淀较为零散，复用性一般；无重大过程资产遗失。
60分以下（待改进）：项目成果与部门战略关联度低；未进行有效的项目复盘，关键文档缺失严重；或因过程管理不当导致重复出现同类低级错误。</t>
  </si>
  <si>
    <t>处理所负责事业群的专利申请工作</t>
  </si>
  <si>
    <t>按期保质完成相关事业群的专利申请文件</t>
  </si>
  <si>
    <t>满分100
专利文件撰写专业、精准，授权前景明朗。全程主动、高效管理，能优化流程，是团队标杆（90-100分）
能独立高质量完成全流程工作，结果可靠（80-89分）
能完成基本工作，但部分环节的深度、效率或质量有提升空间（70-79分）
仅能完成指令性工作，质量勉强达标，需频繁指导与复核（60-69分）
工作质量不达标，影响申请进程或公司利益（60分以下）</t>
  </si>
  <si>
    <t>掌握相关知识产权情况，跟进立项项目组，形成专利布局建议及风险预警</t>
  </si>
  <si>
    <t>识别知识产权挖掘点及风险点，输出专利布局建议</t>
  </si>
  <si>
    <t>满分100
分析具有战略前瞻性，布局建议能直接塑造或影响产品技术路线，风险预警精准且解决方案完备（90-100分）
能独立产出有价值的布局分析和风险提示，对业务有明确助力（80-89分）
能完成基础的分析工作，但洞察深度和商业价值有限（70-79分）
仅能完成信息收集和简单汇总，分析与建议流于形式（60-69分）
未能履行基本职责，输出物错误或缺失，可能误导项目决策（60分以下）</t>
  </si>
  <si>
    <t>评审技术交底书，给出申报建议</t>
  </si>
  <si>
    <t>对技术交底书进行检索分析，形成申报建议</t>
  </si>
  <si>
    <t>满分100：
评审专业、权威，能显著提升发明质量，申报建议极具战略价值（90-100分）
能独立完成高质量的评审工作，建议明确合理（80-89分）
能完成基本评审流程，但在检索深度或建议的精准性上需加强（70-79分）
评审流程执行不到位，判断依据不足（60-69分）
评审工作失职，导致错误决策（60分以下）</t>
  </si>
  <si>
    <t>主动配合团队工作、分享知识产权实操经验、协助同事解决工作难题的表现</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</si>
</sst>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 "/>
    <numFmt numFmtId="177" formatCode="0.00_);[Red]\(0.00\)"/>
    <numFmt numFmtId="178" formatCode="[=0]&quot;&quot;;General"/>
    <numFmt numFmtId="179" formatCode="0_);[Red]\(0\)"/>
  </numFmts>
  <fonts count="34">
    <font>
      <sz val="11"/>
      <color theme="1"/>
      <name val="等线"/>
      <charset val="134"/>
      <scheme val="minor"/>
    </font>
    <font>
      <b/>
      <sz val="14"/>
      <color theme="1"/>
      <name val="微软雅黑"/>
      <charset val="134"/>
    </font>
    <font>
      <b/>
      <sz val="11"/>
      <color theme="1"/>
      <name val="微软雅黑"/>
      <charset val="134"/>
    </font>
    <font>
      <b/>
      <sz val="11"/>
      <name val="微软雅黑"/>
      <charset val="134"/>
    </font>
    <font>
      <b/>
      <sz val="10"/>
      <name val="微软雅黑"/>
      <charset val="134"/>
    </font>
    <font>
      <sz val="11"/>
      <color theme="1"/>
      <name val="微软雅黑"/>
      <charset val="134"/>
    </font>
    <font>
      <sz val="11"/>
      <color rgb="FF000000"/>
      <name val="微软雅黑"/>
      <charset val="134"/>
    </font>
    <font>
      <b/>
      <sz val="11"/>
      <color rgb="FF000000"/>
      <name val="微软雅黑"/>
      <charset val="134"/>
    </font>
    <font>
      <b/>
      <sz val="16"/>
      <color rgb="FF000000"/>
      <name val="仿宋_GB2312"/>
      <charset val="134"/>
    </font>
    <font>
      <sz val="9"/>
      <color rgb="FF000000"/>
      <name val="仿宋_GB2312"/>
      <charset val="134"/>
    </font>
    <font>
      <sz val="9"/>
      <name val="仿宋_GB2312"/>
      <charset val="134"/>
    </font>
    <font>
      <sz val="11"/>
      <name val="微软雅黑"/>
      <charset val="134"/>
    </font>
    <font>
      <b/>
      <sz val="14"/>
      <color theme="0"/>
      <name val="微软雅黑"/>
      <charset val="134"/>
    </font>
    <font>
      <sz val="14"/>
      <color theme="1"/>
      <name val="微软雅黑"/>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4"/>
      <color rgb="FF0070C0"/>
      <name val="微软雅黑"/>
      <charset val="134"/>
    </font>
  </fonts>
  <fills count="37">
    <fill>
      <patternFill patternType="none"/>
    </fill>
    <fill>
      <patternFill patternType="gray125"/>
    </fill>
    <fill>
      <patternFill patternType="solid">
        <fgColor theme="4" tint="0.799981688894314"/>
        <bgColor indexed="64"/>
      </patternFill>
    </fill>
    <fill>
      <patternFill patternType="solid">
        <fgColor theme="0"/>
        <bgColor indexed="64"/>
      </patternFill>
    </fill>
    <fill>
      <patternFill patternType="solid">
        <fgColor theme="4" tint="0.8"/>
        <bgColor indexed="64"/>
      </patternFill>
    </fill>
    <fill>
      <patternFill patternType="solid">
        <fgColor theme="4" tint="0.4"/>
        <bgColor indexed="64"/>
      </patternFill>
    </fill>
    <fill>
      <patternFill patternType="solid">
        <fgColor rgb="FF00206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diagonal/>
    </border>
    <border>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0" fillId="7" borderId="13"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14" applyNumberFormat="0" applyFill="0" applyAlignment="0" applyProtection="0">
      <alignment vertical="center"/>
    </xf>
    <xf numFmtId="0" fontId="20" fillId="0" borderId="14" applyNumberFormat="0" applyFill="0" applyAlignment="0" applyProtection="0">
      <alignment vertical="center"/>
    </xf>
    <xf numFmtId="0" fontId="21" fillId="0" borderId="15" applyNumberFormat="0" applyFill="0" applyAlignment="0" applyProtection="0">
      <alignment vertical="center"/>
    </xf>
    <xf numFmtId="0" fontId="21" fillId="0" borderId="0" applyNumberFormat="0" applyFill="0" applyBorder="0" applyAlignment="0" applyProtection="0">
      <alignment vertical="center"/>
    </xf>
    <xf numFmtId="0" fontId="22" fillId="8" borderId="16" applyNumberFormat="0" applyAlignment="0" applyProtection="0">
      <alignment vertical="center"/>
    </xf>
    <xf numFmtId="0" fontId="23" fillId="9" borderId="17" applyNumberFormat="0" applyAlignment="0" applyProtection="0">
      <alignment vertical="center"/>
    </xf>
    <xf numFmtId="0" fontId="24" fillId="9" borderId="16" applyNumberFormat="0" applyAlignment="0" applyProtection="0">
      <alignment vertical="center"/>
    </xf>
    <xf numFmtId="0" fontId="25" fillId="10" borderId="18" applyNumberFormat="0" applyAlignment="0" applyProtection="0">
      <alignment vertical="center"/>
    </xf>
    <xf numFmtId="0" fontId="26" fillId="0" borderId="19" applyNumberFormat="0" applyFill="0" applyAlignment="0" applyProtection="0">
      <alignment vertical="center"/>
    </xf>
    <xf numFmtId="0" fontId="27" fillId="0" borderId="20" applyNumberFormat="0" applyFill="0" applyAlignment="0" applyProtection="0">
      <alignment vertical="center"/>
    </xf>
    <xf numFmtId="0" fontId="28" fillId="11" borderId="0" applyNumberFormat="0" applyBorder="0" applyAlignment="0" applyProtection="0">
      <alignment vertical="center"/>
    </xf>
    <xf numFmtId="0" fontId="29" fillId="12" borderId="0" applyNumberFormat="0" applyBorder="0" applyAlignment="0" applyProtection="0">
      <alignment vertical="center"/>
    </xf>
    <xf numFmtId="0" fontId="30" fillId="13" borderId="0" applyNumberFormat="0" applyBorder="0" applyAlignment="0" applyProtection="0">
      <alignment vertical="center"/>
    </xf>
    <xf numFmtId="0" fontId="31" fillId="14" borderId="0" applyNumberFormat="0" applyBorder="0" applyAlignment="0" applyProtection="0">
      <alignment vertical="center"/>
    </xf>
    <xf numFmtId="0" fontId="32" fillId="2" borderId="0" applyNumberFormat="0" applyBorder="0" applyAlignment="0" applyProtection="0">
      <alignment vertical="center"/>
    </xf>
    <xf numFmtId="0" fontId="32" fillId="15" borderId="0" applyNumberFormat="0" applyBorder="0" applyAlignment="0" applyProtection="0">
      <alignment vertical="center"/>
    </xf>
    <xf numFmtId="0" fontId="31" fillId="16" borderId="0" applyNumberFormat="0" applyBorder="0" applyAlignment="0" applyProtection="0">
      <alignment vertical="center"/>
    </xf>
    <xf numFmtId="0" fontId="31" fillId="17" borderId="0" applyNumberFormat="0" applyBorder="0" applyAlignment="0" applyProtection="0">
      <alignment vertical="center"/>
    </xf>
    <xf numFmtId="0" fontId="32" fillId="18" borderId="0" applyNumberFormat="0" applyBorder="0" applyAlignment="0" applyProtection="0">
      <alignment vertical="center"/>
    </xf>
    <xf numFmtId="0" fontId="32"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2" fillId="22" borderId="0" applyNumberFormat="0" applyBorder="0" applyAlignment="0" applyProtection="0">
      <alignment vertical="center"/>
    </xf>
    <xf numFmtId="0" fontId="32" fillId="23" borderId="0" applyNumberFormat="0" applyBorder="0" applyAlignment="0" applyProtection="0">
      <alignment vertical="center"/>
    </xf>
    <xf numFmtId="0" fontId="31" fillId="24" borderId="0" applyNumberFormat="0" applyBorder="0" applyAlignment="0" applyProtection="0">
      <alignment vertical="center"/>
    </xf>
    <xf numFmtId="0" fontId="31" fillId="25" borderId="0" applyNumberFormat="0" applyBorder="0" applyAlignment="0" applyProtection="0">
      <alignment vertical="center"/>
    </xf>
    <xf numFmtId="0" fontId="32" fillId="26" borderId="0" applyNumberFormat="0" applyBorder="0" applyAlignment="0" applyProtection="0">
      <alignment vertical="center"/>
    </xf>
    <xf numFmtId="0" fontId="32" fillId="27" borderId="0" applyNumberFormat="0" applyBorder="0" applyAlignment="0" applyProtection="0">
      <alignment vertical="center"/>
    </xf>
    <xf numFmtId="0" fontId="31" fillId="28" borderId="0" applyNumberFormat="0" applyBorder="0" applyAlignment="0" applyProtection="0">
      <alignment vertical="center"/>
    </xf>
    <xf numFmtId="0" fontId="31" fillId="29" borderId="0" applyNumberFormat="0" applyBorder="0" applyAlignment="0" applyProtection="0">
      <alignment vertical="center"/>
    </xf>
    <xf numFmtId="0" fontId="32" fillId="30" borderId="0" applyNumberFormat="0" applyBorder="0" applyAlignment="0" applyProtection="0">
      <alignment vertical="center"/>
    </xf>
    <xf numFmtId="0" fontId="32" fillId="31" borderId="0" applyNumberFormat="0" applyBorder="0" applyAlignment="0" applyProtection="0">
      <alignment vertical="center"/>
    </xf>
    <xf numFmtId="0" fontId="31" fillId="32" borderId="0" applyNumberFormat="0" applyBorder="0" applyAlignment="0" applyProtection="0">
      <alignment vertical="center"/>
    </xf>
    <xf numFmtId="0" fontId="31" fillId="33" borderId="0" applyNumberFormat="0" applyBorder="0" applyAlignment="0" applyProtection="0">
      <alignment vertical="center"/>
    </xf>
    <xf numFmtId="0" fontId="32" fillId="34" borderId="0" applyNumberFormat="0" applyBorder="0" applyAlignment="0" applyProtection="0">
      <alignment vertical="center"/>
    </xf>
    <xf numFmtId="0" fontId="32" fillId="35" borderId="0" applyNumberFormat="0" applyBorder="0" applyAlignment="0" applyProtection="0">
      <alignment vertical="center"/>
    </xf>
    <xf numFmtId="0" fontId="31" fillId="36" borderId="0" applyNumberFormat="0" applyBorder="0" applyAlignment="0" applyProtection="0">
      <alignment vertical="center"/>
    </xf>
    <xf numFmtId="0" fontId="0" fillId="0" borderId="0">
      <alignment vertical="center"/>
    </xf>
  </cellStyleXfs>
  <cellXfs count="243">
    <xf numFmtId="0" fontId="0" fillId="0" borderId="0" xfId="0">
      <alignment vertical="center"/>
    </xf>
    <xf numFmtId="0" fontId="0" fillId="0" borderId="0" xfId="0" applyProtection="1">
      <alignment vertical="center"/>
      <protection locked="0"/>
    </xf>
    <xf numFmtId="0" fontId="0" fillId="0" borderId="0" xfId="0"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0" xfId="0" applyAlignment="1" applyProtection="1">
      <alignment vertical="center" wrapText="1"/>
      <protection locked="0"/>
    </xf>
    <xf numFmtId="176" fontId="0" fillId="0" borderId="0" xfId="0" applyNumberFormat="1" applyProtection="1">
      <alignment vertical="center"/>
      <protection locked="0"/>
    </xf>
    <xf numFmtId="177" fontId="0" fillId="0" borderId="0" xfId="0" applyNumberFormat="1" applyProtection="1">
      <alignment vertical="center"/>
      <protection locked="0"/>
    </xf>
    <xf numFmtId="177" fontId="0" fillId="0" borderId="0" xfId="0" applyNumberFormat="1">
      <alignment vertical="center"/>
    </xf>
    <xf numFmtId="0" fontId="1" fillId="0" borderId="1" xfId="0" applyFont="1" applyBorder="1" applyAlignment="1" applyProtection="1">
      <alignment horizontal="center" vertical="center"/>
      <protection locked="0"/>
    </xf>
    <xf numFmtId="0" fontId="1" fillId="0" borderId="1" xfId="0" applyFont="1" applyBorder="1" applyAlignment="1" applyProtection="1">
      <alignment horizontal="center" vertical="center" wrapText="1"/>
      <protection locked="0"/>
    </xf>
    <xf numFmtId="0" fontId="1" fillId="0" borderId="1" xfId="0" applyFont="1" applyBorder="1" applyAlignment="1">
      <alignment horizontal="center" vertical="center"/>
    </xf>
    <xf numFmtId="0" fontId="2" fillId="0" borderId="1" xfId="0" applyFont="1" applyBorder="1" applyAlignment="1" applyProtection="1">
      <alignment horizontal="left" vertical="center"/>
      <protection locked="0"/>
    </xf>
    <xf numFmtId="0" fontId="2" fillId="0" borderId="1" xfId="0" applyFont="1" applyBorder="1" applyAlignment="1" applyProtection="1">
      <alignment horizontal="center" vertical="center"/>
      <protection locked="0"/>
    </xf>
    <xf numFmtId="0" fontId="2" fillId="0" borderId="1" xfId="0" applyFont="1" applyBorder="1" applyAlignment="1" applyProtection="1">
      <alignment horizontal="left" vertical="center" wrapText="1"/>
      <protection locked="0"/>
    </xf>
    <xf numFmtId="0" fontId="2" fillId="0" borderId="1" xfId="0" applyFont="1" applyBorder="1" applyAlignment="1">
      <alignment horizontal="left" vertical="center"/>
    </xf>
    <xf numFmtId="0" fontId="3" fillId="2" borderId="1" xfId="0" applyFont="1" applyFill="1" applyBorder="1" applyAlignment="1" applyProtection="1">
      <alignment horizontal="center" vertical="center"/>
      <protection locked="0"/>
    </xf>
    <xf numFmtId="0" fontId="3" fillId="2" borderId="1" xfId="0" applyFont="1" applyFill="1" applyBorder="1" applyAlignment="1" applyProtection="1">
      <alignment horizontal="center" vertical="center" wrapText="1"/>
      <protection locked="0"/>
    </xf>
    <xf numFmtId="0" fontId="4" fillId="2" borderId="1" xfId="0" applyFont="1" applyFill="1" applyBorder="1" applyAlignment="1" applyProtection="1">
      <alignment horizontal="center" vertical="center"/>
      <protection locked="0"/>
    </xf>
    <xf numFmtId="0" fontId="4" fillId="2" borderId="1" xfId="0" applyFont="1" applyFill="1" applyBorder="1" applyAlignment="1" applyProtection="1">
      <alignment horizontal="center" vertical="center" wrapText="1"/>
      <protection locked="0"/>
    </xf>
    <xf numFmtId="176" fontId="3" fillId="2" borderId="1" xfId="0" applyNumberFormat="1" applyFont="1" applyFill="1" applyBorder="1" applyAlignment="1" applyProtection="1">
      <alignment horizontal="center" vertical="center" wrapText="1"/>
      <protection locked="0"/>
    </xf>
    <xf numFmtId="177" fontId="3" fillId="2" borderId="1" xfId="0" applyNumberFormat="1" applyFont="1" applyFill="1" applyBorder="1" applyAlignment="1" applyProtection="1">
      <alignment horizontal="center" vertical="center" wrapText="1"/>
      <protection locked="0"/>
    </xf>
    <xf numFmtId="177" fontId="3" fillId="2" borderId="1" xfId="0" applyNumberFormat="1" applyFont="1" applyFill="1" applyBorder="1" applyAlignment="1">
      <alignment horizontal="center" vertical="center" wrapText="1"/>
    </xf>
    <xf numFmtId="0" fontId="5" fillId="0" borderId="1" xfId="0" applyFont="1" applyBorder="1" applyAlignment="1" applyProtection="1">
      <alignment horizontal="center" vertical="center" wrapText="1"/>
      <protection locked="0"/>
    </xf>
    <xf numFmtId="9" fontId="5" fillId="0" borderId="2" xfId="0" applyNumberFormat="1" applyFont="1" applyBorder="1" applyAlignment="1" applyProtection="1">
      <alignment horizontal="center" vertical="center" wrapText="1"/>
      <protection locked="0"/>
    </xf>
    <xf numFmtId="9" fontId="5" fillId="0" borderId="1" xfId="0" applyNumberFormat="1" applyFont="1" applyBorder="1" applyAlignment="1" applyProtection="1">
      <alignment horizontal="center" vertical="center"/>
      <protection locked="0"/>
    </xf>
    <xf numFmtId="0" fontId="5" fillId="0" borderId="1" xfId="0" applyFont="1" applyBorder="1" applyAlignment="1" applyProtection="1">
      <alignment horizontal="center" vertical="center"/>
      <protection locked="0"/>
    </xf>
    <xf numFmtId="0" fontId="5" fillId="0" borderId="2" xfId="0" applyFont="1" applyBorder="1" applyAlignment="1" applyProtection="1">
      <alignment horizontal="justify" vertical="center" wrapText="1"/>
      <protection locked="0"/>
    </xf>
    <xf numFmtId="0" fontId="5" fillId="0" borderId="1" xfId="0" applyFont="1" applyBorder="1" applyAlignment="1" applyProtection="1">
      <alignment vertical="top" wrapText="1"/>
      <protection locked="0"/>
    </xf>
    <xf numFmtId="176" fontId="6" fillId="0" borderId="1" xfId="0" applyNumberFormat="1" applyFont="1" applyBorder="1" applyAlignment="1" applyProtection="1">
      <alignment horizontal="center" vertical="center" wrapText="1"/>
      <protection locked="0"/>
    </xf>
    <xf numFmtId="0" fontId="6" fillId="0" borderId="1" xfId="0" applyFont="1" applyBorder="1" applyAlignment="1" applyProtection="1">
      <alignment horizontal="center" vertical="center" wrapText="1"/>
      <protection locked="0"/>
    </xf>
    <xf numFmtId="0" fontId="6" fillId="0" borderId="2" xfId="0" applyFont="1" applyBorder="1" applyAlignment="1" applyProtection="1">
      <alignment horizontal="center" vertical="center" wrapText="1"/>
      <protection locked="0"/>
    </xf>
    <xf numFmtId="177" fontId="7" fillId="0" borderId="1" xfId="0" applyNumberFormat="1" applyFont="1" applyBorder="1" applyAlignment="1">
      <alignment horizontal="center" vertical="center" wrapText="1"/>
    </xf>
    <xf numFmtId="0" fontId="0" fillId="0" borderId="1" xfId="0" applyBorder="1" applyAlignment="1">
      <alignment horizontal="center" vertical="center" wrapText="1"/>
    </xf>
    <xf numFmtId="0" fontId="5" fillId="0" borderId="3" xfId="0" applyFont="1" applyBorder="1" applyAlignment="1" applyProtection="1">
      <alignment horizontal="center" vertical="center" wrapText="1"/>
      <protection locked="0"/>
    </xf>
    <xf numFmtId="0" fontId="5" fillId="0" borderId="3" xfId="0" applyFont="1" applyBorder="1" applyAlignment="1" applyProtection="1">
      <alignment horizontal="justify" vertical="center" wrapText="1"/>
      <protection locked="0"/>
    </xf>
    <xf numFmtId="0" fontId="5" fillId="3" borderId="1" xfId="0" applyFont="1" applyFill="1" applyBorder="1" applyAlignment="1" applyProtection="1">
      <alignment vertical="top" wrapText="1"/>
      <protection locked="0"/>
    </xf>
    <xf numFmtId="176" fontId="5" fillId="0" borderId="1" xfId="0" applyNumberFormat="1" applyFont="1" applyBorder="1" applyAlignment="1" applyProtection="1">
      <alignment horizontal="center" vertical="center"/>
      <protection locked="0"/>
    </xf>
    <xf numFmtId="0" fontId="6" fillId="0" borderId="3" xfId="0" applyFont="1" applyBorder="1" applyAlignment="1" applyProtection="1">
      <alignment horizontal="center" vertical="center" wrapText="1"/>
      <protection locked="0"/>
    </xf>
    <xf numFmtId="0" fontId="5" fillId="0" borderId="4" xfId="0" applyFont="1" applyBorder="1" applyAlignment="1" applyProtection="1">
      <alignment horizontal="center" vertical="center" wrapText="1"/>
      <protection locked="0"/>
    </xf>
    <xf numFmtId="0" fontId="5" fillId="0" borderId="4" xfId="0" applyFont="1" applyBorder="1" applyAlignment="1" applyProtection="1">
      <alignment horizontal="justify" vertical="center" wrapText="1"/>
      <protection locked="0"/>
    </xf>
    <xf numFmtId="0" fontId="6" fillId="0" borderId="4" xfId="0" applyFont="1" applyBorder="1" applyAlignment="1" applyProtection="1">
      <alignment horizontal="center" vertical="center" wrapText="1"/>
      <protection locked="0"/>
    </xf>
    <xf numFmtId="0" fontId="3" fillId="2" borderId="5" xfId="0" applyFont="1" applyFill="1" applyBorder="1" applyAlignment="1" applyProtection="1">
      <alignment horizontal="center" vertical="center" wrapText="1"/>
      <protection locked="0"/>
    </xf>
    <xf numFmtId="0" fontId="3" fillId="2" borderId="6" xfId="0" applyFont="1" applyFill="1" applyBorder="1" applyAlignment="1" applyProtection="1">
      <alignment horizontal="center" vertical="center" wrapText="1"/>
      <protection locked="0"/>
    </xf>
    <xf numFmtId="0" fontId="3" fillId="2" borderId="7" xfId="0" applyFont="1" applyFill="1" applyBorder="1" applyAlignment="1" applyProtection="1">
      <alignment horizontal="center" vertical="center" wrapText="1"/>
      <protection locked="0"/>
    </xf>
    <xf numFmtId="0" fontId="3" fillId="2" borderId="1" xfId="0" applyFont="1" applyFill="1" applyBorder="1" applyAlignment="1">
      <alignment vertical="center" wrapText="1"/>
    </xf>
    <xf numFmtId="0" fontId="0" fillId="0" borderId="0" xfId="0" applyAlignment="1">
      <alignment vertical="center" wrapText="1"/>
    </xf>
    <xf numFmtId="0" fontId="3" fillId="2" borderId="3" xfId="0" applyFont="1" applyFill="1" applyBorder="1" applyAlignment="1" applyProtection="1">
      <alignment horizontal="center" vertical="center" wrapText="1"/>
      <protection locked="0"/>
    </xf>
    <xf numFmtId="9" fontId="5" fillId="0" borderId="3" xfId="0" applyNumberFormat="1" applyFont="1" applyBorder="1" applyAlignment="1" applyProtection="1">
      <alignment horizontal="center" vertical="center" wrapText="1"/>
      <protection locked="0"/>
    </xf>
    <xf numFmtId="9" fontId="5" fillId="0" borderId="4" xfId="0" applyNumberFormat="1" applyFont="1" applyBorder="1" applyAlignment="1" applyProtection="1">
      <alignment horizontal="center" vertical="center"/>
      <protection locked="0"/>
    </xf>
    <xf numFmtId="0" fontId="5" fillId="0" borderId="4" xfId="0" applyFont="1" applyBorder="1" applyAlignment="1" applyProtection="1">
      <alignment horizontal="center" vertical="center"/>
      <protection locked="0"/>
    </xf>
    <xf numFmtId="0" fontId="5" fillId="3" borderId="4" xfId="0" applyFont="1" applyFill="1" applyBorder="1" applyAlignment="1" applyProtection="1">
      <alignment vertical="top" wrapText="1"/>
      <protection locked="0"/>
    </xf>
    <xf numFmtId="176" fontId="5" fillId="0" borderId="4" xfId="0" applyNumberFormat="1" applyFont="1" applyBorder="1" applyAlignment="1" applyProtection="1">
      <alignment horizontal="center" vertical="center"/>
      <protection locked="0"/>
    </xf>
    <xf numFmtId="176" fontId="5" fillId="0" borderId="1" xfId="0" applyNumberFormat="1" applyFont="1" applyBorder="1" applyAlignment="1" applyProtection="1">
      <alignment horizontal="center" vertical="center" wrapText="1"/>
      <protection locked="0"/>
    </xf>
    <xf numFmtId="0" fontId="5" fillId="0" borderId="2" xfId="0" applyFont="1" applyBorder="1" applyAlignment="1" applyProtection="1">
      <alignment horizontal="center" vertical="center" wrapText="1"/>
      <protection locked="0"/>
    </xf>
    <xf numFmtId="9" fontId="5" fillId="0" borderId="2" xfId="0" applyNumberFormat="1" applyFont="1" applyBorder="1" applyAlignment="1" applyProtection="1">
      <alignment horizontal="center" vertical="center"/>
      <protection locked="0"/>
    </xf>
    <xf numFmtId="0" fontId="5" fillId="0" borderId="2" xfId="0" applyFont="1" applyBorder="1" applyAlignment="1" applyProtection="1">
      <alignment horizontal="center" vertical="center"/>
      <protection locked="0"/>
    </xf>
    <xf numFmtId="0" fontId="5" fillId="0" borderId="2" xfId="0" applyFont="1" applyBorder="1" applyAlignment="1" applyProtection="1">
      <alignment vertical="top" wrapText="1"/>
      <protection locked="0"/>
    </xf>
    <xf numFmtId="176" fontId="5" fillId="0" borderId="2" xfId="0" applyNumberFormat="1" applyFont="1" applyBorder="1" applyAlignment="1" applyProtection="1">
      <alignment horizontal="center" vertical="center" wrapText="1"/>
      <protection locked="0"/>
    </xf>
    <xf numFmtId="0" fontId="5" fillId="0" borderId="1" xfId="0" applyFont="1" applyBorder="1" applyAlignment="1" applyProtection="1">
      <alignment horizontal="justify" vertical="center" wrapText="1"/>
      <protection locked="0"/>
    </xf>
    <xf numFmtId="0" fontId="5" fillId="0" borderId="3" xfId="0" applyFont="1" applyBorder="1" applyAlignment="1" applyProtection="1">
      <alignment horizontal="center" vertical="center"/>
      <protection locked="0"/>
    </xf>
    <xf numFmtId="9" fontId="5" fillId="0" borderId="1" xfId="0" applyNumberFormat="1" applyFont="1" applyBorder="1" applyAlignment="1" applyProtection="1">
      <alignment horizontal="center" vertical="center" wrapText="1"/>
      <protection locked="0"/>
    </xf>
    <xf numFmtId="0" fontId="5" fillId="0" borderId="1" xfId="0" applyFont="1" applyBorder="1" applyAlignment="1">
      <alignment horizontal="center" vertical="center" wrapText="1"/>
    </xf>
    <xf numFmtId="0" fontId="5" fillId="0" borderId="5" xfId="0" applyFont="1" applyBorder="1" applyAlignment="1" applyProtection="1">
      <alignment horizontal="left" vertical="center" wrapText="1"/>
      <protection locked="0"/>
    </xf>
    <xf numFmtId="0" fontId="5" fillId="0" borderId="6" xfId="0" applyFont="1" applyBorder="1" applyAlignment="1" applyProtection="1">
      <alignment horizontal="left" vertical="center" wrapText="1"/>
      <protection locked="0"/>
    </xf>
    <xf numFmtId="0" fontId="5" fillId="0" borderId="7" xfId="0" applyFont="1" applyBorder="1" applyAlignment="1">
      <alignment horizontal="left" vertical="center" wrapText="1"/>
    </xf>
    <xf numFmtId="0" fontId="8" fillId="0" borderId="0" xfId="0" applyFont="1" applyAlignment="1">
      <alignment horizontal="center" vertical="center"/>
    </xf>
    <xf numFmtId="0" fontId="9" fillId="0" borderId="1" xfId="0" applyFont="1" applyBorder="1">
      <alignment vertical="center"/>
    </xf>
    <xf numFmtId="0" fontId="9" fillId="0" borderId="1" xfId="0" applyFont="1" applyBorder="1" applyAlignment="1">
      <alignment horizontal="center" vertical="center"/>
    </xf>
    <xf numFmtId="0" fontId="9" fillId="0" borderId="1" xfId="0" applyFont="1" applyBorder="1" applyAlignment="1">
      <alignment horizontal="center" vertical="center" wrapText="1"/>
    </xf>
    <xf numFmtId="0" fontId="9" fillId="0" borderId="2" xfId="0" applyFont="1" applyBorder="1" applyAlignment="1">
      <alignment vertical="center" wrapText="1"/>
    </xf>
    <xf numFmtId="9" fontId="9" fillId="0" borderId="1" xfId="0" applyNumberFormat="1" applyFont="1" applyBorder="1" applyAlignment="1">
      <alignment horizontal="center" vertical="center"/>
    </xf>
    <xf numFmtId="0" fontId="10" fillId="0" borderId="1" xfId="0" applyFont="1" applyBorder="1" applyAlignment="1">
      <alignment vertical="center" wrapText="1"/>
    </xf>
    <xf numFmtId="0" fontId="9" fillId="0" borderId="1" xfId="0" applyFont="1" applyBorder="1" applyAlignment="1">
      <alignment vertical="center" wrapText="1"/>
    </xf>
    <xf numFmtId="0" fontId="9" fillId="0" borderId="5" xfId="0" applyFont="1" applyBorder="1" applyAlignment="1">
      <alignment horizontal="left" vertical="center" wrapText="1"/>
    </xf>
    <xf numFmtId="0" fontId="9" fillId="0" borderId="7" xfId="0" applyFont="1" applyBorder="1" applyAlignment="1">
      <alignment horizontal="left" vertical="center" wrapText="1"/>
    </xf>
    <xf numFmtId="0" fontId="9" fillId="0" borderId="6" xfId="0" applyFont="1" applyBorder="1" applyAlignment="1">
      <alignment horizontal="left" vertical="center" wrapText="1"/>
    </xf>
    <xf numFmtId="177" fontId="0" fillId="0" borderId="0" xfId="0" applyNumberFormat="1" applyProtection="1">
      <alignment vertical="center"/>
    </xf>
    <xf numFmtId="0" fontId="0" fillId="0" borderId="0" xfId="0" applyProtection="1">
      <alignment vertical="center"/>
    </xf>
    <xf numFmtId="0" fontId="1" fillId="0" borderId="1" xfId="0" applyFont="1" applyBorder="1" applyAlignment="1" applyProtection="1">
      <alignment horizontal="center" vertical="center"/>
    </xf>
    <xf numFmtId="0" fontId="2" fillId="0" borderId="1" xfId="0" applyFont="1" applyBorder="1" applyAlignment="1" applyProtection="1">
      <alignment horizontal="left" vertical="center"/>
    </xf>
    <xf numFmtId="0" fontId="3" fillId="4" borderId="1" xfId="0" applyFont="1" applyFill="1" applyBorder="1" applyAlignment="1" applyProtection="1">
      <alignment horizontal="center" vertical="center"/>
      <protection locked="0"/>
    </xf>
    <xf numFmtId="0" fontId="3" fillId="4" borderId="1" xfId="0" applyFont="1" applyFill="1" applyBorder="1" applyAlignment="1" applyProtection="1">
      <alignment horizontal="center" vertical="center" wrapText="1"/>
      <protection locked="0"/>
    </xf>
    <xf numFmtId="0" fontId="4" fillId="4" borderId="1" xfId="0" applyFont="1" applyFill="1" applyBorder="1" applyAlignment="1" applyProtection="1">
      <alignment horizontal="center" vertical="center"/>
      <protection locked="0"/>
    </xf>
    <xf numFmtId="0" fontId="4" fillId="4" borderId="1" xfId="0" applyFont="1" applyFill="1" applyBorder="1" applyAlignment="1" applyProtection="1">
      <alignment horizontal="center" vertical="center" wrapText="1"/>
      <protection locked="0"/>
    </xf>
    <xf numFmtId="176" fontId="3" fillId="4" borderId="1" xfId="0" applyNumberFormat="1" applyFont="1" applyFill="1" applyBorder="1" applyAlignment="1" applyProtection="1">
      <alignment horizontal="center" vertical="center" wrapText="1"/>
      <protection locked="0"/>
    </xf>
    <xf numFmtId="177" fontId="3" fillId="4" borderId="1" xfId="0" applyNumberFormat="1" applyFont="1" applyFill="1" applyBorder="1" applyAlignment="1" applyProtection="1">
      <alignment horizontal="center" vertical="center" wrapText="1"/>
      <protection locked="0"/>
    </xf>
    <xf numFmtId="177" fontId="3" fillId="4" borderId="1" xfId="0" applyNumberFormat="1" applyFont="1" applyFill="1" applyBorder="1" applyAlignment="1" applyProtection="1">
      <alignment horizontal="center" vertical="center" wrapText="1"/>
    </xf>
    <xf numFmtId="177" fontId="7" fillId="0" borderId="1" xfId="0" applyNumberFormat="1" applyFont="1" applyBorder="1" applyAlignment="1" applyProtection="1">
      <alignment horizontal="center" vertical="center" wrapText="1"/>
    </xf>
    <xf numFmtId="0" fontId="0" fillId="0" borderId="1" xfId="0" applyBorder="1" applyAlignment="1" applyProtection="1">
      <alignment horizontal="center" vertical="center" wrapText="1"/>
    </xf>
    <xf numFmtId="0" fontId="3" fillId="4" borderId="5" xfId="0" applyFont="1" applyFill="1" applyBorder="1" applyAlignment="1" applyProtection="1">
      <alignment horizontal="center" vertical="center" wrapText="1"/>
      <protection locked="0"/>
    </xf>
    <xf numFmtId="0" fontId="3" fillId="4" borderId="6" xfId="0" applyFont="1" applyFill="1" applyBorder="1" applyAlignment="1" applyProtection="1">
      <alignment horizontal="center" vertical="center" wrapText="1"/>
      <protection locked="0"/>
    </xf>
    <xf numFmtId="0" fontId="3" fillId="4" borderId="7" xfId="0" applyFont="1" applyFill="1" applyBorder="1" applyAlignment="1" applyProtection="1">
      <alignment horizontal="center" vertical="center" wrapText="1"/>
      <protection locked="0"/>
    </xf>
    <xf numFmtId="0" fontId="3" fillId="4" borderId="1" xfId="0" applyFont="1" applyFill="1" applyBorder="1" applyAlignment="1" applyProtection="1">
      <alignment vertical="center" wrapText="1"/>
    </xf>
    <xf numFmtId="0" fontId="0" fillId="0" borderId="0" xfId="0" applyAlignment="1" applyProtection="1">
      <alignment vertical="center" wrapText="1"/>
    </xf>
    <xf numFmtId="0" fontId="3" fillId="4" borderId="3" xfId="0" applyFont="1" applyFill="1" applyBorder="1" applyAlignment="1" applyProtection="1">
      <alignment horizontal="center" vertical="center" wrapText="1"/>
      <protection locked="0"/>
    </xf>
    <xf numFmtId="0" fontId="5" fillId="0" borderId="1" xfId="0" applyFont="1" applyBorder="1" applyAlignment="1" applyProtection="1">
      <alignment horizontal="center" vertical="center" wrapText="1"/>
    </xf>
    <xf numFmtId="0" fontId="5" fillId="0" borderId="7" xfId="0" applyFont="1" applyBorder="1" applyAlignment="1" applyProtection="1">
      <alignment horizontal="left" vertical="center" wrapText="1"/>
    </xf>
    <xf numFmtId="0" fontId="5" fillId="0" borderId="0" xfId="0" applyFont="1" applyFill="1" applyAlignment="1" applyProtection="1">
      <alignment vertical="center"/>
      <protection locked="0"/>
    </xf>
    <xf numFmtId="0" fontId="5" fillId="0" borderId="0" xfId="0" applyFont="1" applyFill="1" applyAlignment="1" applyProtection="1">
      <alignment horizontal="center" vertical="center"/>
      <protection locked="0"/>
    </xf>
    <xf numFmtId="0" fontId="5" fillId="0" borderId="0" xfId="0" applyFont="1" applyFill="1" applyAlignment="1" applyProtection="1">
      <alignment vertical="center" wrapText="1"/>
      <protection locked="0"/>
    </xf>
    <xf numFmtId="0" fontId="5" fillId="0" borderId="0" xfId="0" applyFont="1" applyFill="1" applyAlignment="1" applyProtection="1">
      <alignment vertical="center"/>
    </xf>
    <xf numFmtId="0" fontId="1" fillId="0" borderId="0" xfId="0" applyFont="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1" fillId="0" borderId="8" xfId="0" applyFont="1" applyBorder="1" applyAlignment="1" applyProtection="1">
      <alignment horizontal="center" vertical="center"/>
    </xf>
    <xf numFmtId="0" fontId="2" fillId="0" borderId="1" xfId="0" applyFont="1" applyBorder="1" applyAlignment="1" applyProtection="1">
      <alignment horizontal="center" vertical="center" wrapText="1"/>
      <protection locked="0"/>
    </xf>
    <xf numFmtId="0" fontId="2" fillId="4" borderId="1" xfId="0" applyFont="1" applyFill="1" applyBorder="1" applyAlignment="1" applyProtection="1">
      <alignment horizontal="center" vertical="center" wrapText="1"/>
      <protection locked="0"/>
    </xf>
    <xf numFmtId="0" fontId="5" fillId="0" borderId="2" xfId="0" applyFont="1" applyFill="1" applyBorder="1" applyAlignment="1" applyProtection="1">
      <alignment horizontal="center" vertical="center" wrapText="1"/>
      <protection locked="0"/>
    </xf>
    <xf numFmtId="9" fontId="5" fillId="0" borderId="2" xfId="0" applyNumberFormat="1" applyFont="1" applyFill="1" applyBorder="1" applyAlignment="1" applyProtection="1">
      <alignment horizontal="center" vertical="center" wrapText="1"/>
      <protection locked="0"/>
    </xf>
    <xf numFmtId="0" fontId="5" fillId="0" borderId="1" xfId="0" applyFont="1" applyFill="1" applyBorder="1" applyAlignment="1" applyProtection="1">
      <alignment horizontal="left" vertical="center" wrapText="1"/>
      <protection locked="0"/>
    </xf>
    <xf numFmtId="9" fontId="5" fillId="0" borderId="1" xfId="0" applyNumberFormat="1" applyFont="1" applyFill="1" applyBorder="1" applyAlignment="1" applyProtection="1">
      <alignment horizontal="center" vertical="center"/>
      <protection locked="0"/>
    </xf>
    <xf numFmtId="0" fontId="5" fillId="0" borderId="1" xfId="0" applyFont="1" applyFill="1" applyBorder="1" applyAlignment="1" applyProtection="1">
      <alignment horizontal="center" vertical="center"/>
      <protection locked="0"/>
    </xf>
    <xf numFmtId="0" fontId="5" fillId="0" borderId="1" xfId="0" applyFont="1" applyFill="1" applyBorder="1" applyAlignment="1" applyProtection="1">
      <alignment horizontal="center" vertical="center" wrapText="1"/>
      <protection locked="0"/>
    </xf>
    <xf numFmtId="0" fontId="5" fillId="0" borderId="1" xfId="0" applyFont="1" applyFill="1" applyBorder="1" applyAlignment="1" applyProtection="1">
      <alignment vertical="center" wrapText="1"/>
      <protection locked="0"/>
    </xf>
    <xf numFmtId="0" fontId="7" fillId="0" borderId="1" xfId="0" applyFont="1" applyFill="1" applyBorder="1" applyAlignment="1" applyProtection="1">
      <alignment horizontal="center" vertical="center" wrapText="1"/>
      <protection locked="0"/>
    </xf>
    <xf numFmtId="178" fontId="6" fillId="0" borderId="1" xfId="0" applyNumberFormat="1" applyFont="1" applyBorder="1" applyAlignment="1" applyProtection="1">
      <alignment horizontal="center" vertical="center" wrapText="1"/>
    </xf>
    <xf numFmtId="0" fontId="5" fillId="0" borderId="1" xfId="0" applyFont="1" applyFill="1" applyBorder="1" applyAlignment="1" applyProtection="1">
      <alignment vertical="center"/>
    </xf>
    <xf numFmtId="0" fontId="2" fillId="4" borderId="1" xfId="0" applyFont="1" applyFill="1" applyBorder="1" applyAlignment="1" applyProtection="1">
      <alignment horizontal="center" vertical="center" wrapText="1"/>
    </xf>
    <xf numFmtId="0" fontId="5" fillId="0" borderId="0" xfId="0" applyFont="1" applyFill="1" applyAlignment="1" applyProtection="1">
      <alignment vertical="center" wrapText="1"/>
    </xf>
    <xf numFmtId="0" fontId="2" fillId="4" borderId="4" xfId="0" applyFont="1" applyFill="1" applyBorder="1" applyAlignment="1" applyProtection="1">
      <alignment horizontal="center" vertical="center" wrapText="1"/>
      <protection locked="0"/>
    </xf>
    <xf numFmtId="0" fontId="5" fillId="0" borderId="4" xfId="0" applyFont="1" applyFill="1" applyBorder="1" applyAlignment="1" applyProtection="1">
      <alignment horizontal="center" vertical="center" wrapText="1"/>
      <protection locked="0"/>
    </xf>
    <xf numFmtId="9" fontId="5" fillId="0" borderId="3" xfId="0" applyNumberFormat="1" applyFont="1" applyFill="1" applyBorder="1" applyAlignment="1" applyProtection="1">
      <alignment horizontal="center" vertical="center" wrapText="1"/>
      <protection locked="0"/>
    </xf>
    <xf numFmtId="0" fontId="5" fillId="0" borderId="4" xfId="0" applyFont="1" applyFill="1" applyBorder="1" applyAlignment="1" applyProtection="1">
      <alignment horizontal="left" vertical="center" wrapText="1"/>
      <protection locked="0"/>
    </xf>
    <xf numFmtId="9" fontId="5" fillId="0" borderId="4" xfId="0" applyNumberFormat="1" applyFont="1" applyFill="1" applyBorder="1" applyAlignment="1" applyProtection="1">
      <alignment horizontal="center" vertical="center"/>
      <protection locked="0"/>
    </xf>
    <xf numFmtId="0" fontId="5" fillId="0" borderId="4" xfId="0" applyFont="1" applyFill="1" applyBorder="1" applyAlignment="1" applyProtection="1">
      <alignment horizontal="center" vertical="center"/>
      <protection locked="0"/>
    </xf>
    <xf numFmtId="0" fontId="5" fillId="0" borderId="3" xfId="0" applyFont="1" applyFill="1" applyBorder="1" applyAlignment="1" applyProtection="1">
      <alignment horizontal="center" vertical="center" wrapText="1"/>
      <protection locked="0"/>
    </xf>
    <xf numFmtId="0" fontId="5" fillId="0" borderId="4" xfId="0" applyFont="1" applyFill="1" applyBorder="1" applyAlignment="1" applyProtection="1">
      <alignment vertical="center" wrapText="1"/>
      <protection locked="0"/>
    </xf>
    <xf numFmtId="0" fontId="7" fillId="0" borderId="4" xfId="0" applyFont="1" applyFill="1" applyBorder="1" applyAlignment="1" applyProtection="1">
      <alignment horizontal="center" vertical="center" wrapText="1"/>
      <protection locked="0"/>
    </xf>
    <xf numFmtId="0" fontId="5" fillId="0" borderId="3" xfId="0" applyFont="1" applyFill="1" applyBorder="1" applyAlignment="1" applyProtection="1">
      <alignment horizontal="center" vertical="center"/>
      <protection locked="0"/>
    </xf>
    <xf numFmtId="0" fontId="5" fillId="0" borderId="1" xfId="0" applyFont="1" applyFill="1" applyBorder="1" applyAlignment="1" applyProtection="1">
      <alignment horizontal="center" vertical="center" wrapText="1"/>
    </xf>
    <xf numFmtId="0" fontId="2" fillId="4" borderId="2" xfId="0" applyFont="1" applyFill="1" applyBorder="1" applyAlignment="1" applyProtection="1">
      <alignment horizontal="center" vertical="center" wrapText="1"/>
      <protection locked="0"/>
    </xf>
    <xf numFmtId="0" fontId="5" fillId="0" borderId="2" xfId="0" applyFont="1" applyFill="1" applyBorder="1" applyAlignment="1" applyProtection="1">
      <alignment horizontal="left" vertical="center" wrapText="1"/>
      <protection locked="0"/>
    </xf>
    <xf numFmtId="9" fontId="5" fillId="0" borderId="2" xfId="0" applyNumberFormat="1" applyFont="1" applyFill="1" applyBorder="1" applyAlignment="1" applyProtection="1">
      <alignment horizontal="center" vertical="center"/>
      <protection locked="0"/>
    </xf>
    <xf numFmtId="0" fontId="5" fillId="0" borderId="2" xfId="0" applyFont="1" applyFill="1" applyBorder="1" applyAlignment="1" applyProtection="1">
      <alignment horizontal="center" vertical="center"/>
      <protection locked="0"/>
    </xf>
    <xf numFmtId="0" fontId="5" fillId="0" borderId="2" xfId="0" applyFont="1" applyFill="1" applyBorder="1" applyAlignment="1" applyProtection="1">
      <alignment vertical="center" wrapText="1"/>
      <protection locked="0"/>
    </xf>
    <xf numFmtId="0" fontId="7" fillId="0" borderId="2" xfId="0" applyFont="1" applyFill="1" applyBorder="1" applyAlignment="1" applyProtection="1">
      <alignment horizontal="center" vertical="center" wrapText="1"/>
      <protection locked="0"/>
    </xf>
    <xf numFmtId="0" fontId="2" fillId="4" borderId="5" xfId="0" applyFont="1" applyFill="1" applyBorder="1" applyAlignment="1" applyProtection="1">
      <alignment horizontal="center" vertical="center" wrapText="1"/>
      <protection locked="0"/>
    </xf>
    <xf numFmtId="0" fontId="2" fillId="4" borderId="6" xfId="0" applyFont="1" applyFill="1" applyBorder="1" applyAlignment="1" applyProtection="1">
      <alignment horizontal="center" vertical="center" wrapText="1"/>
      <protection locked="0"/>
    </xf>
    <xf numFmtId="0" fontId="2" fillId="4" borderId="7" xfId="0" applyFont="1" applyFill="1" applyBorder="1" applyAlignment="1" applyProtection="1">
      <alignment horizontal="center" vertical="center" wrapText="1"/>
    </xf>
    <xf numFmtId="9" fontId="5" fillId="0" borderId="3" xfId="0" applyNumberFormat="1" applyFont="1" applyFill="1" applyBorder="1" applyAlignment="1" applyProtection="1">
      <alignment horizontal="center" vertical="center"/>
      <protection locked="0"/>
    </xf>
    <xf numFmtId="0" fontId="5" fillId="0" borderId="1" xfId="0" applyFont="1" applyFill="1" applyBorder="1" applyAlignment="1" applyProtection="1">
      <alignment horizontal="center" vertical="center"/>
    </xf>
    <xf numFmtId="0" fontId="5" fillId="0" borderId="5" xfId="0" applyFont="1" applyFill="1" applyBorder="1" applyAlignment="1" applyProtection="1">
      <alignment horizontal="center" vertical="center"/>
      <protection locked="0"/>
    </xf>
    <xf numFmtId="0" fontId="5" fillId="0" borderId="6" xfId="0" applyFont="1" applyFill="1" applyBorder="1" applyAlignment="1" applyProtection="1">
      <alignment horizontal="center" vertical="center"/>
      <protection locked="0"/>
    </xf>
    <xf numFmtId="0" fontId="5" fillId="0" borderId="6" xfId="0" applyFont="1" applyFill="1" applyBorder="1" applyAlignment="1" applyProtection="1">
      <alignment horizontal="center" vertical="center" wrapText="1"/>
      <protection locked="0"/>
    </xf>
    <xf numFmtId="0" fontId="5" fillId="0" borderId="7" xfId="0" applyFont="1" applyFill="1" applyBorder="1" applyAlignment="1" applyProtection="1">
      <alignment horizontal="center" vertical="center"/>
      <protection locked="0"/>
    </xf>
    <xf numFmtId="0" fontId="5" fillId="0" borderId="5" xfId="0" applyFont="1" applyFill="1" applyBorder="1" applyAlignment="1" applyProtection="1">
      <alignment horizontal="left" vertical="center" wrapText="1"/>
      <protection locked="0"/>
    </xf>
    <xf numFmtId="0" fontId="5" fillId="0" borderId="6" xfId="0" applyFont="1" applyFill="1" applyBorder="1" applyAlignment="1" applyProtection="1">
      <alignment horizontal="left" vertical="center" wrapText="1"/>
      <protection locked="0"/>
    </xf>
    <xf numFmtId="0" fontId="5" fillId="0" borderId="7" xfId="0" applyFont="1" applyFill="1" applyBorder="1" applyAlignment="1" applyProtection="1">
      <alignment horizontal="left" vertical="center" wrapText="1"/>
      <protection locked="0"/>
    </xf>
    <xf numFmtId="0" fontId="5" fillId="0" borderId="7" xfId="0" applyFont="1" applyFill="1" applyBorder="1" applyAlignment="1" applyProtection="1">
      <alignment horizontal="left" vertical="center" wrapText="1"/>
    </xf>
    <xf numFmtId="0" fontId="5" fillId="0" borderId="0" xfId="0" applyFont="1" applyProtection="1">
      <alignment vertical="center"/>
      <protection locked="0"/>
    </xf>
    <xf numFmtId="0" fontId="5" fillId="0" borderId="0" xfId="49" applyFont="1" applyFill="1" applyAlignment="1" applyProtection="1">
      <alignment vertical="center"/>
      <protection locked="0"/>
    </xf>
    <xf numFmtId="0" fontId="5" fillId="0" borderId="0" xfId="0" applyFont="1" applyAlignment="1" applyProtection="1">
      <alignment vertical="center" wrapText="1"/>
      <protection locked="0"/>
    </xf>
    <xf numFmtId="0" fontId="5" fillId="0" borderId="0" xfId="0" applyFont="1" applyAlignment="1" applyProtection="1">
      <alignment horizontal="center" vertical="center"/>
      <protection locked="0"/>
    </xf>
    <xf numFmtId="0" fontId="5" fillId="0" borderId="0" xfId="0" applyFont="1" applyProtection="1">
      <alignment vertical="center"/>
    </xf>
    <xf numFmtId="0" fontId="5" fillId="0" borderId="9" xfId="0" applyFont="1" applyBorder="1" applyAlignment="1" applyProtection="1">
      <alignment horizontal="center" vertical="center" wrapText="1"/>
      <protection locked="0"/>
    </xf>
    <xf numFmtId="9" fontId="5" fillId="0" borderId="9" xfId="0" applyNumberFormat="1" applyFont="1" applyBorder="1" applyAlignment="1" applyProtection="1">
      <alignment horizontal="center" vertical="center" wrapText="1"/>
      <protection locked="0"/>
    </xf>
    <xf numFmtId="0" fontId="5" fillId="0" borderId="1" xfId="0" applyFont="1" applyBorder="1" applyAlignment="1" applyProtection="1">
      <alignment vertical="center" wrapText="1"/>
      <protection locked="0"/>
    </xf>
    <xf numFmtId="0" fontId="5" fillId="0" borderId="1" xfId="0" applyFont="1" applyBorder="1" applyProtection="1">
      <alignment vertical="center"/>
    </xf>
    <xf numFmtId="0" fontId="2" fillId="4" borderId="10" xfId="0" applyFont="1" applyFill="1" applyBorder="1" applyAlignment="1" applyProtection="1">
      <alignment vertical="center" wrapText="1"/>
      <protection locked="0"/>
    </xf>
    <xf numFmtId="0" fontId="2" fillId="4" borderId="11" xfId="0" applyFont="1" applyFill="1" applyBorder="1" applyAlignment="1" applyProtection="1">
      <alignment vertical="center" wrapText="1"/>
      <protection locked="0"/>
    </xf>
    <xf numFmtId="0" fontId="2" fillId="4" borderId="9" xfId="0" applyFont="1" applyFill="1" applyBorder="1" applyAlignment="1" applyProtection="1">
      <alignment vertical="center" wrapText="1"/>
    </xf>
    <xf numFmtId="0" fontId="5" fillId="0" borderId="8" xfId="0" applyFont="1" applyBorder="1" applyAlignment="1" applyProtection="1">
      <alignment horizontal="center" vertical="center" wrapText="1"/>
      <protection locked="0"/>
    </xf>
    <xf numFmtId="9" fontId="5" fillId="0" borderId="8" xfId="0" applyNumberFormat="1" applyFont="1" applyBorder="1" applyAlignment="1" applyProtection="1">
      <alignment horizontal="center" vertical="center" wrapText="1"/>
      <protection locked="0"/>
    </xf>
    <xf numFmtId="0" fontId="5" fillId="0" borderId="4" xfId="0" applyFont="1" applyBorder="1" applyAlignment="1" applyProtection="1">
      <alignment vertical="center" wrapText="1"/>
      <protection locked="0"/>
    </xf>
    <xf numFmtId="0" fontId="5" fillId="0" borderId="1" xfId="0" applyFont="1" applyBorder="1" applyAlignment="1" applyProtection="1">
      <alignment horizontal="center" vertical="center"/>
    </xf>
    <xf numFmtId="0" fontId="5" fillId="0" borderId="12" xfId="0" applyFont="1" applyBorder="1" applyAlignment="1" applyProtection="1">
      <alignment horizontal="center" vertical="center" wrapText="1"/>
      <protection locked="0"/>
    </xf>
    <xf numFmtId="0" fontId="5" fillId="0" borderId="7" xfId="0" applyFont="1" applyBorder="1" applyAlignment="1" applyProtection="1">
      <alignment horizontal="center" vertical="center" wrapText="1"/>
      <protection locked="0"/>
    </xf>
    <xf numFmtId="0" fontId="5" fillId="0" borderId="2" xfId="0" applyFont="1" applyBorder="1" applyAlignment="1" applyProtection="1">
      <alignment vertical="center" wrapText="1"/>
      <protection locked="0"/>
    </xf>
    <xf numFmtId="0" fontId="2" fillId="4" borderId="1" xfId="0" applyFont="1" applyFill="1" applyBorder="1" applyAlignment="1" applyProtection="1">
      <alignment vertical="center" wrapText="1"/>
      <protection locked="0"/>
    </xf>
    <xf numFmtId="0" fontId="2" fillId="4" borderId="1" xfId="0" applyFont="1" applyFill="1" applyBorder="1" applyAlignment="1" applyProtection="1">
      <alignment vertical="center" wrapText="1"/>
    </xf>
    <xf numFmtId="179" fontId="5" fillId="0" borderId="4" xfId="0" applyNumberFormat="1" applyFont="1" applyBorder="1" applyAlignment="1" applyProtection="1">
      <alignment horizontal="center" vertical="center"/>
      <protection locked="0"/>
    </xf>
    <xf numFmtId="179" fontId="5" fillId="0" borderId="3" xfId="0" applyNumberFormat="1" applyFont="1" applyBorder="1" applyAlignment="1" applyProtection="1">
      <alignment horizontal="center" vertical="center" wrapText="1"/>
      <protection locked="0"/>
    </xf>
    <xf numFmtId="0" fontId="5" fillId="0" borderId="1" xfId="0" applyFont="1" applyBorder="1" applyAlignment="1" applyProtection="1">
      <alignment horizontal="left" vertical="center" wrapText="1"/>
      <protection locked="0"/>
    </xf>
    <xf numFmtId="179" fontId="5" fillId="0" borderId="1" xfId="0" applyNumberFormat="1" applyFont="1" applyBorder="1" applyAlignment="1" applyProtection="1">
      <alignment horizontal="center" vertical="center"/>
      <protection locked="0"/>
    </xf>
    <xf numFmtId="0" fontId="11" fillId="0" borderId="1" xfId="0" applyFont="1" applyBorder="1" applyAlignment="1" applyProtection="1">
      <alignment vertical="center" wrapText="1"/>
      <protection locked="0"/>
    </xf>
    <xf numFmtId="0" fontId="5" fillId="0" borderId="1" xfId="49" applyFont="1" applyFill="1" applyBorder="1" applyAlignment="1" applyProtection="1">
      <alignment horizontal="center" vertical="center"/>
      <protection locked="0"/>
    </xf>
    <xf numFmtId="179" fontId="5" fillId="0" borderId="4" xfId="0" applyNumberFormat="1" applyFont="1" applyBorder="1" applyAlignment="1" applyProtection="1">
      <alignment horizontal="center" vertical="center" wrapText="1"/>
      <protection locked="0"/>
    </xf>
    <xf numFmtId="0" fontId="5" fillId="0" borderId="5" xfId="49" applyFont="1" applyFill="1" applyBorder="1" applyAlignment="1" applyProtection="1">
      <alignment horizontal="center" vertical="center"/>
      <protection locked="0"/>
    </xf>
    <xf numFmtId="0" fontId="5" fillId="0" borderId="6" xfId="49" applyFont="1" applyFill="1" applyBorder="1" applyAlignment="1" applyProtection="1">
      <alignment horizontal="center" vertical="center"/>
      <protection locked="0"/>
    </xf>
    <xf numFmtId="0" fontId="5" fillId="0" borderId="6" xfId="49" applyFont="1" applyFill="1" applyBorder="1" applyAlignment="1" applyProtection="1">
      <alignment horizontal="center" vertical="center" wrapText="1"/>
      <protection locked="0"/>
    </xf>
    <xf numFmtId="0" fontId="5" fillId="0" borderId="7" xfId="49" applyFont="1" applyFill="1" applyBorder="1" applyAlignment="1" applyProtection="1">
      <alignment horizontal="center" vertical="center"/>
      <protection locked="0"/>
    </xf>
    <xf numFmtId="178" fontId="5" fillId="0" borderId="1" xfId="49" applyNumberFormat="1" applyFont="1" applyFill="1" applyBorder="1" applyAlignment="1" applyProtection="1">
      <alignment horizontal="center" vertical="center"/>
    </xf>
    <xf numFmtId="0" fontId="7" fillId="0" borderId="1" xfId="49" applyFont="1" applyBorder="1" applyAlignment="1" applyProtection="1">
      <alignment horizontal="center" vertical="center" wrapText="1"/>
    </xf>
    <xf numFmtId="0" fontId="5" fillId="0" borderId="1" xfId="0" applyFont="1" applyBorder="1" applyAlignment="1" applyProtection="1">
      <alignment horizontal="left" vertical="center" wrapText="1"/>
    </xf>
    <xf numFmtId="0" fontId="5" fillId="0" borderId="0" xfId="49" applyFont="1" applyProtection="1">
      <alignment vertical="center"/>
      <protection locked="0"/>
    </xf>
    <xf numFmtId="0" fontId="5" fillId="3" borderId="0" xfId="0" applyFont="1" applyFill="1" applyProtection="1">
      <alignment vertical="center"/>
      <protection locked="0"/>
    </xf>
    <xf numFmtId="0" fontId="5" fillId="0" borderId="0" xfId="0" applyFont="1" applyAlignment="1" applyProtection="1">
      <alignment horizontal="center" vertical="center" wrapText="1"/>
      <protection locked="0"/>
    </xf>
    <xf numFmtId="0" fontId="7" fillId="0" borderId="1" xfId="0" applyFont="1" applyBorder="1" applyAlignment="1" applyProtection="1">
      <alignment horizontal="center" vertical="center" wrapText="1"/>
      <protection locked="0"/>
    </xf>
    <xf numFmtId="0" fontId="7" fillId="0" borderId="2" xfId="0" applyFont="1" applyBorder="1" applyAlignment="1" applyProtection="1">
      <alignment horizontal="center" vertical="center" wrapText="1"/>
      <protection locked="0"/>
    </xf>
    <xf numFmtId="0" fontId="7" fillId="0" borderId="1" xfId="0" applyFont="1" applyBorder="1" applyAlignment="1" applyProtection="1">
      <alignment horizontal="center" vertical="center" wrapText="1"/>
    </xf>
    <xf numFmtId="0" fontId="2" fillId="4" borderId="3" xfId="0" applyFont="1" applyFill="1" applyBorder="1" applyAlignment="1" applyProtection="1">
      <alignment horizontal="center" vertical="center" wrapText="1"/>
      <protection locked="0"/>
    </xf>
    <xf numFmtId="9" fontId="6" fillId="0" borderId="2" xfId="0" applyNumberFormat="1" applyFont="1" applyBorder="1" applyAlignment="1" applyProtection="1">
      <alignment horizontal="center" vertical="center"/>
      <protection locked="0"/>
    </xf>
    <xf numFmtId="0" fontId="6" fillId="0" borderId="2" xfId="0" applyFont="1" applyBorder="1" applyAlignment="1" applyProtection="1">
      <alignment horizontal="center" vertical="center"/>
      <protection locked="0"/>
    </xf>
    <xf numFmtId="0" fontId="5" fillId="0" borderId="2" xfId="0" applyFont="1" applyBorder="1" applyAlignment="1" applyProtection="1">
      <alignment horizontal="left" vertical="center" wrapText="1"/>
      <protection locked="0"/>
    </xf>
    <xf numFmtId="0" fontId="7" fillId="0" borderId="3" xfId="0" applyFont="1" applyBorder="1" applyAlignment="1" applyProtection="1">
      <alignment horizontal="center" vertical="center" wrapText="1"/>
      <protection locked="0"/>
    </xf>
    <xf numFmtId="9" fontId="5" fillId="0" borderId="3" xfId="0" applyNumberFormat="1" applyFont="1" applyBorder="1" applyAlignment="1" applyProtection="1">
      <alignment horizontal="center" vertical="center"/>
      <protection locked="0"/>
    </xf>
    <xf numFmtId="0" fontId="11" fillId="0" borderId="1" xfId="0" applyFont="1" applyBorder="1" applyAlignment="1" applyProtection="1">
      <alignment horizontal="center" vertical="center" wrapText="1"/>
      <protection locked="0"/>
    </xf>
    <xf numFmtId="179" fontId="5" fillId="0" borderId="1" xfId="0" applyNumberFormat="1" applyFont="1" applyBorder="1" applyAlignment="1" applyProtection="1">
      <alignment horizontal="center" vertical="center" wrapText="1"/>
      <protection locked="0"/>
    </xf>
    <xf numFmtId="0" fontId="5" fillId="0" borderId="1" xfId="49" applyFont="1" applyBorder="1" applyAlignment="1" applyProtection="1">
      <alignment horizontal="center" vertical="center" wrapText="1"/>
      <protection locked="0"/>
    </xf>
    <xf numFmtId="0" fontId="5" fillId="0" borderId="0" xfId="49" applyFont="1" applyProtection="1">
      <alignment vertical="center"/>
    </xf>
    <xf numFmtId="0" fontId="5" fillId="3" borderId="1" xfId="0" applyFont="1" applyFill="1" applyBorder="1" applyAlignment="1" applyProtection="1">
      <alignment horizontal="justify" vertical="center" wrapText="1"/>
      <protection locked="0"/>
    </xf>
    <xf numFmtId="0" fontId="5" fillId="3" borderId="1" xfId="0" applyFont="1" applyFill="1" applyBorder="1" applyAlignment="1" applyProtection="1">
      <alignment vertical="center" wrapText="1"/>
      <protection locked="0"/>
    </xf>
    <xf numFmtId="0" fontId="5" fillId="3" borderId="1" xfId="0" applyFont="1" applyFill="1" applyBorder="1" applyAlignment="1" applyProtection="1">
      <alignment vertical="center" wrapText="1"/>
    </xf>
    <xf numFmtId="0" fontId="5" fillId="3" borderId="0" xfId="0" applyFont="1" applyFill="1" applyProtection="1">
      <alignment vertical="center"/>
    </xf>
    <xf numFmtId="0" fontId="7" fillId="0" borderId="4" xfId="0" applyFont="1" applyBorder="1" applyAlignment="1" applyProtection="1">
      <alignment horizontal="center" vertical="center" wrapText="1"/>
      <protection locked="0"/>
    </xf>
    <xf numFmtId="0" fontId="11" fillId="0" borderId="4" xfId="0" applyFont="1" applyBorder="1" applyAlignment="1" applyProtection="1">
      <alignment horizontal="center" vertical="center" wrapText="1"/>
      <protection locked="0"/>
    </xf>
    <xf numFmtId="0" fontId="5" fillId="0" borderId="1" xfId="49" applyFont="1" applyBorder="1" applyAlignment="1" applyProtection="1">
      <alignment horizontal="center" vertical="center"/>
      <protection locked="0"/>
    </xf>
    <xf numFmtId="0" fontId="5" fillId="0" borderId="5" xfId="49" applyFont="1" applyBorder="1" applyAlignment="1" applyProtection="1">
      <alignment horizontal="center" vertical="center" wrapText="1"/>
      <protection locked="0"/>
    </xf>
    <xf numFmtId="0" fontId="5" fillId="0" borderId="6" xfId="49" applyFont="1" applyBorder="1" applyAlignment="1" applyProtection="1">
      <alignment horizontal="center" vertical="center" wrapText="1"/>
      <protection locked="0"/>
    </xf>
    <xf numFmtId="0" fontId="5" fillId="0" borderId="7" xfId="49" applyFont="1" applyBorder="1" applyAlignment="1" applyProtection="1">
      <alignment horizontal="center" vertical="center" wrapText="1"/>
      <protection locked="0"/>
    </xf>
    <xf numFmtId="0" fontId="5" fillId="0" borderId="1" xfId="49" applyFont="1" applyBorder="1" applyAlignment="1" applyProtection="1">
      <alignment horizontal="center" vertical="center"/>
    </xf>
    <xf numFmtId="177" fontId="0" fillId="0" borderId="0" xfId="0" applyNumberFormat="1" applyAlignment="1" applyProtection="1">
      <alignment horizontal="center" vertical="center"/>
      <protection locked="0"/>
    </xf>
    <xf numFmtId="177" fontId="5" fillId="0" borderId="0" xfId="0" applyNumberFormat="1" applyFont="1" applyProtection="1">
      <alignment vertical="center"/>
    </xf>
    <xf numFmtId="0" fontId="1" fillId="0" borderId="5" xfId="0" applyFont="1" applyBorder="1" applyAlignment="1" applyProtection="1">
      <alignment horizontal="center" vertical="center"/>
      <protection locked="0"/>
    </xf>
    <xf numFmtId="0" fontId="1" fillId="0" borderId="6" xfId="0" applyFont="1" applyBorder="1" applyAlignment="1" applyProtection="1">
      <alignment horizontal="center" vertical="center"/>
      <protection locked="0"/>
    </xf>
    <xf numFmtId="0" fontId="1" fillId="0" borderId="6" xfId="0" applyFont="1" applyBorder="1" applyAlignment="1" applyProtection="1">
      <alignment horizontal="center" vertical="center" wrapText="1"/>
      <protection locked="0"/>
    </xf>
    <xf numFmtId="0" fontId="1" fillId="0" borderId="7" xfId="0" applyFont="1" applyBorder="1" applyAlignment="1" applyProtection="1">
      <alignment horizontal="center" vertical="center"/>
    </xf>
    <xf numFmtId="0" fontId="2" fillId="0" borderId="1" xfId="0" applyFont="1" applyBorder="1" applyAlignment="1" applyProtection="1">
      <alignment vertical="center"/>
      <protection locked="0"/>
    </xf>
    <xf numFmtId="0" fontId="2" fillId="0" borderId="1" xfId="0" applyFont="1" applyBorder="1" applyAlignment="1" applyProtection="1">
      <alignment vertical="center" wrapText="1"/>
      <protection locked="0"/>
    </xf>
    <xf numFmtId="0" fontId="2" fillId="0" borderId="1" xfId="0" applyFont="1" applyBorder="1" applyAlignment="1" applyProtection="1">
      <alignment vertical="center"/>
    </xf>
    <xf numFmtId="177" fontId="3" fillId="5" borderId="1" xfId="0" applyNumberFormat="1" applyFont="1" applyFill="1" applyBorder="1" applyAlignment="1" applyProtection="1">
      <alignment horizontal="center" vertical="center" wrapText="1"/>
    </xf>
    <xf numFmtId="9" fontId="3" fillId="4" borderId="1" xfId="0" applyNumberFormat="1" applyFont="1" applyFill="1" applyBorder="1" applyAlignment="1" applyProtection="1">
      <alignment horizontal="center" vertical="center" wrapText="1"/>
      <protection locked="0"/>
    </xf>
    <xf numFmtId="177" fontId="5" fillId="0" borderId="1" xfId="0" applyNumberFormat="1" applyFont="1" applyBorder="1" applyAlignment="1" applyProtection="1">
      <alignment horizontal="center" vertical="center"/>
      <protection locked="0"/>
    </xf>
    <xf numFmtId="0" fontId="3" fillId="0" borderId="7" xfId="0" applyFont="1" applyFill="1" applyBorder="1" applyAlignment="1" applyProtection="1">
      <alignment vertical="center" wrapText="1"/>
    </xf>
    <xf numFmtId="0" fontId="3" fillId="0" borderId="1" xfId="0" applyFont="1" applyFill="1" applyBorder="1" applyAlignment="1" applyProtection="1">
      <alignment vertical="center" wrapText="1"/>
    </xf>
    <xf numFmtId="0" fontId="3" fillId="4" borderId="4" xfId="0" applyFont="1" applyFill="1" applyBorder="1" applyAlignment="1" applyProtection="1">
      <alignment horizontal="center" vertical="center" wrapText="1"/>
      <protection locked="0"/>
    </xf>
    <xf numFmtId="9" fontId="3" fillId="4" borderId="4" xfId="0" applyNumberFormat="1" applyFont="1" applyFill="1" applyBorder="1" applyAlignment="1" applyProtection="1">
      <alignment horizontal="center" vertical="center" wrapText="1"/>
      <protection locked="0"/>
    </xf>
    <xf numFmtId="177" fontId="7" fillId="0" borderId="4" xfId="0" applyNumberFormat="1" applyFont="1" applyBorder="1" applyAlignment="1" applyProtection="1">
      <alignment horizontal="center" vertical="center" wrapText="1"/>
    </xf>
    <xf numFmtId="0" fontId="3" fillId="4" borderId="2" xfId="0" applyFont="1" applyFill="1" applyBorder="1" applyAlignment="1" applyProtection="1">
      <alignment horizontal="center" vertical="center" wrapText="1"/>
      <protection locked="0"/>
    </xf>
    <xf numFmtId="177" fontId="7" fillId="0" borderId="2" xfId="0" applyNumberFormat="1" applyFont="1" applyBorder="1" applyAlignment="1" applyProtection="1">
      <alignment horizontal="center" vertical="center" wrapText="1"/>
    </xf>
    <xf numFmtId="0" fontId="5" fillId="0" borderId="2" xfId="0" applyFont="1" applyBorder="1" applyAlignment="1" applyProtection="1">
      <alignment horizontal="center" vertical="center" wrapText="1"/>
    </xf>
    <xf numFmtId="0" fontId="3" fillId="4" borderId="5" xfId="0" applyFont="1" applyFill="1" applyBorder="1" applyAlignment="1" applyProtection="1">
      <alignment vertical="center" wrapText="1"/>
      <protection locked="0"/>
    </xf>
    <xf numFmtId="0" fontId="3" fillId="4" borderId="6" xfId="0" applyFont="1" applyFill="1" applyBorder="1" applyAlignment="1" applyProtection="1">
      <alignment vertical="center" wrapText="1"/>
      <protection locked="0"/>
    </xf>
    <xf numFmtId="9" fontId="3" fillId="4" borderId="3" xfId="0" applyNumberFormat="1" applyFont="1" applyFill="1" applyBorder="1" applyAlignment="1" applyProtection="1">
      <alignment horizontal="center" vertical="center" wrapText="1"/>
      <protection locked="0"/>
    </xf>
    <xf numFmtId="0" fontId="5" fillId="0" borderId="4" xfId="0" applyFont="1" applyBorder="1" applyAlignment="1" applyProtection="1">
      <alignment vertical="top" wrapText="1"/>
      <protection locked="0"/>
    </xf>
    <xf numFmtId="176" fontId="5" fillId="0" borderId="4" xfId="0" applyNumberFormat="1" applyFont="1" applyBorder="1" applyAlignment="1" applyProtection="1">
      <alignment horizontal="center" vertical="center" wrapText="1"/>
      <protection locked="0"/>
    </xf>
    <xf numFmtId="0" fontId="5" fillId="0" borderId="5" xfId="0" applyFont="1" applyBorder="1" applyAlignment="1" applyProtection="1">
      <alignment horizontal="center" vertical="center" wrapText="1"/>
      <protection locked="0"/>
    </xf>
    <xf numFmtId="0" fontId="5" fillId="0" borderId="6" xfId="0" applyFont="1" applyBorder="1" applyAlignment="1" applyProtection="1">
      <alignment horizontal="center" vertical="center" wrapText="1"/>
      <protection locked="0"/>
    </xf>
    <xf numFmtId="177" fontId="2" fillId="0" borderId="1" xfId="0" applyNumberFormat="1" applyFont="1" applyBorder="1" applyAlignment="1" applyProtection="1">
      <alignment horizontal="center" vertical="center"/>
    </xf>
    <xf numFmtId="0" fontId="5" fillId="0" borderId="5" xfId="0" applyFont="1" applyBorder="1" applyAlignment="1" applyProtection="1">
      <alignment vertical="center" wrapText="1"/>
      <protection locked="0"/>
    </xf>
    <xf numFmtId="0" fontId="5" fillId="0" borderId="6" xfId="0" applyFont="1" applyBorder="1" applyAlignment="1" applyProtection="1">
      <alignment vertical="center" wrapText="1"/>
      <protection locked="0"/>
    </xf>
    <xf numFmtId="0" fontId="5" fillId="0" borderId="7" xfId="0" applyFont="1" applyBorder="1" applyAlignment="1" applyProtection="1">
      <alignment vertical="center" wrapText="1"/>
    </xf>
    <xf numFmtId="0" fontId="12" fillId="6" borderId="1" xfId="0" applyFont="1" applyFill="1" applyBorder="1">
      <alignment vertical="center"/>
    </xf>
    <xf numFmtId="0" fontId="13" fillId="0" borderId="1" xfId="0" applyFont="1" applyBorder="1">
      <alignmen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2" Type="http://schemas.openxmlformats.org/officeDocument/2006/relationships/styles" Target="styles.xml"/><Relationship Id="rId21" Type="http://schemas.openxmlformats.org/officeDocument/2006/relationships/sharedStrings" Target="sharedStrings.xml"/><Relationship Id="rId20" Type="http://schemas.openxmlformats.org/officeDocument/2006/relationships/theme" Target="theme/theme1.xml"/><Relationship Id="rId2" Type="http://schemas.openxmlformats.org/officeDocument/2006/relationships/worksheet" Target="worksheets/sheet2.xml"/><Relationship Id="rId19" Type="http://schemas.openxmlformats.org/officeDocument/2006/relationships/externalLink" Target="externalLinks/externalLink1.xml"/><Relationship Id="rId18" Type="http://schemas.openxmlformats.org/officeDocument/2006/relationships/customXml" Target="../customXml/item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limengxiao/Downloads/C:/Users/37212/Desktop/&#38468;&#20214;1&#65306;&#32489;&#25928;&#35780;&#20215;&#34920;%20-%20&#30693;&#35782;&#20135;&#26435;.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填写说明"/>
      <sheetName val="知识产权岗"/>
      <sheetName val="知识产权岗明细"/>
    </sheetNames>
    <sheetDataSet>
      <sheetData sheetId="0"/>
      <sheetData sheetId="1"/>
      <sheetData sheetId="2">
        <row r="4">
          <cell r="N4">
            <v>0</v>
          </cell>
        </row>
        <row r="8">
          <cell r="N8">
            <v>0</v>
          </cell>
        </row>
        <row r="13">
          <cell r="N13">
            <v>0</v>
          </cell>
        </row>
      </sheetData>
    </sheetDataSet>
  </externalBook>
</externalLink>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7:B10"/>
  <sheetViews>
    <sheetView workbookViewId="0">
      <selection activeCell="B10" sqref="B10"/>
    </sheetView>
  </sheetViews>
  <sheetFormatPr defaultColWidth="8.66964285714286" defaultRowHeight="16.8" outlineLevelCol="1"/>
  <cols>
    <col min="2" max="2" width="108.169642857143" customWidth="1"/>
  </cols>
  <sheetData>
    <row r="7" ht="19.2" spans="2:2">
      <c r="B7" s="241" t="s">
        <v>0</v>
      </c>
    </row>
    <row r="8" ht="45" customHeight="1" spans="2:2">
      <c r="B8" s="242" t="s">
        <v>1</v>
      </c>
    </row>
    <row r="9" ht="44" customHeight="1" spans="2:2">
      <c r="B9" s="242" t="s">
        <v>2</v>
      </c>
    </row>
    <row r="10" ht="57" customHeight="1" spans="2:2">
      <c r="B10" s="242" t="s">
        <v>3</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G8"/>
  <sheetViews>
    <sheetView workbookViewId="0">
      <selection activeCell="B7" sqref="B7:F7"/>
    </sheetView>
  </sheetViews>
  <sheetFormatPr defaultColWidth="8.25" defaultRowHeight="16.8" outlineLevelRow="7" outlineLevelCol="6"/>
  <cols>
    <col min="1" max="1" width="4.40178571428571" customWidth="1"/>
    <col min="2" max="2" width="25.4821428571429" customWidth="1"/>
    <col min="3" max="3" width="7.51785714285714" customWidth="1"/>
    <col min="4" max="4" width="46.4732142857143" customWidth="1"/>
    <col min="5" max="6" width="9.53571428571429" customWidth="1"/>
    <col min="7" max="7" width="17.7857142857143" customWidth="1"/>
  </cols>
  <sheetData>
    <row r="1" customFormat="1" ht="38.15" customHeight="1" spans="2:7">
      <c r="B1" s="65" t="s">
        <v>4</v>
      </c>
      <c r="C1" s="65"/>
      <c r="D1" s="65"/>
      <c r="E1" s="65"/>
      <c r="F1" s="65"/>
      <c r="G1" s="65"/>
    </row>
    <row r="2" customFormat="1" ht="25.25" customHeight="1" spans="2:7">
      <c r="B2" s="66" t="s">
        <v>5</v>
      </c>
      <c r="C2" s="66"/>
      <c r="D2" s="66"/>
      <c r="E2" s="66"/>
      <c r="F2" s="66"/>
      <c r="G2" s="66"/>
    </row>
    <row r="3" customFormat="1" ht="27.95" customHeight="1" spans="2:7">
      <c r="B3" s="67" t="s">
        <v>6</v>
      </c>
      <c r="C3" s="67" t="s">
        <v>7</v>
      </c>
      <c r="D3" s="68" t="s">
        <v>8</v>
      </c>
      <c r="E3" s="68" t="s">
        <v>9</v>
      </c>
      <c r="F3" s="68" t="s">
        <v>10</v>
      </c>
      <c r="G3" s="68" t="s">
        <v>11</v>
      </c>
    </row>
    <row r="4" customFormat="1" ht="68.25" customHeight="1" spans="2:7">
      <c r="B4" s="69" t="s">
        <v>12</v>
      </c>
      <c r="C4" s="70">
        <v>0.3</v>
      </c>
      <c r="D4" s="66">
        <f>部门负责人明细!H4</f>
        <v>0</v>
      </c>
      <c r="E4" s="66"/>
      <c r="F4" s="66">
        <f>部门负责人明细!N4</f>
        <v>0</v>
      </c>
      <c r="G4" s="67">
        <f t="shared" ref="G4:G6" si="0">F4*C4</f>
        <v>0</v>
      </c>
    </row>
    <row r="5" customFormat="1" ht="61.25" customHeight="1" spans="2:7">
      <c r="B5" s="69" t="s">
        <v>13</v>
      </c>
      <c r="C5" s="70">
        <v>0.4</v>
      </c>
      <c r="D5" s="66">
        <f>部门负责人明细!H7</f>
        <v>0</v>
      </c>
      <c r="E5" s="66"/>
      <c r="F5" s="66">
        <f>部门负责人明细!N7</f>
        <v>0</v>
      </c>
      <c r="G5" s="67">
        <f t="shared" si="0"/>
        <v>0</v>
      </c>
    </row>
    <row r="6" customFormat="1" ht="54.8" customHeight="1" spans="2:7">
      <c r="B6" s="71" t="s">
        <v>14</v>
      </c>
      <c r="C6" s="70">
        <v>0.3</v>
      </c>
      <c r="D6" s="72">
        <f>部门负责人明细!H12</f>
        <v>0</v>
      </c>
      <c r="E6" s="72"/>
      <c r="F6" s="66">
        <f>部门负责人明细!N12</f>
        <v>0</v>
      </c>
      <c r="G6" s="67">
        <f t="shared" si="0"/>
        <v>0</v>
      </c>
    </row>
    <row r="7" customFormat="1" ht="22.05" customHeight="1" spans="2:7">
      <c r="B7" s="67" t="s">
        <v>15</v>
      </c>
      <c r="C7" s="67"/>
      <c r="D7" s="67"/>
      <c r="E7" s="67"/>
      <c r="F7" s="67"/>
      <c r="G7" s="67">
        <f>SUM(G4:G6)</f>
        <v>0</v>
      </c>
    </row>
    <row r="8" customFormat="1" ht="42.45" customHeight="1" spans="2:7">
      <c r="B8" s="73" t="s">
        <v>16</v>
      </c>
      <c r="C8" s="74"/>
      <c r="D8" s="73" t="s">
        <v>17</v>
      </c>
      <c r="E8" s="75"/>
      <c r="F8" s="75"/>
      <c r="G8" s="74"/>
    </row>
  </sheetData>
  <mergeCells count="5">
    <mergeCell ref="B1:G1"/>
    <mergeCell ref="B2:G2"/>
    <mergeCell ref="B7:F7"/>
    <mergeCell ref="B8:C8"/>
    <mergeCell ref="D8:G8"/>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R16"/>
  <sheetViews>
    <sheetView zoomScale="90" zoomScaleNormal="90" workbookViewId="0">
      <pane xSplit="4" ySplit="3" topLeftCell="E4" activePane="bottomRight" state="frozen"/>
      <selection/>
      <selection pane="topRight"/>
      <selection pane="bottomLeft"/>
      <selection pane="bottomRight" activeCell="G12" sqref="G12"/>
    </sheetView>
  </sheetViews>
  <sheetFormatPr defaultColWidth="8.21428571428571" defaultRowHeight="16.8"/>
  <cols>
    <col min="1" max="1" width="1.21428571428571" style="1" customWidth="1"/>
    <col min="2" max="3" width="7.89285714285714" style="1" customWidth="1"/>
    <col min="4" max="4" width="8.6875" style="3" customWidth="1"/>
    <col min="5" max="5" width="18.8303571428571" style="3" customWidth="1"/>
    <col min="6" max="6" width="8.61607142857143" style="1" customWidth="1"/>
    <col min="7" max="7" width="7.21428571428571" style="1" customWidth="1"/>
    <col min="8" max="8" width="28.25" style="4" customWidth="1"/>
    <col min="9" max="9" width="65.25" style="1" customWidth="1"/>
    <col min="10" max="10" width="10.9196428571429" style="5" customWidth="1"/>
    <col min="11" max="12" width="10" style="210" customWidth="1"/>
    <col min="13" max="13" width="16.0714285714286" style="211" customWidth="1"/>
    <col min="14" max="14" width="11.9196428571429" style="152" customWidth="1"/>
    <col min="15" max="16384" width="8.21428571428571" style="1"/>
  </cols>
  <sheetData>
    <row r="1" ht="19.2" spans="2:18">
      <c r="B1" s="212" t="s">
        <v>4</v>
      </c>
      <c r="C1" s="213"/>
      <c r="D1" s="213"/>
      <c r="E1" s="213"/>
      <c r="F1" s="213"/>
      <c r="G1" s="213"/>
      <c r="H1" s="214"/>
      <c r="I1" s="213"/>
      <c r="J1" s="213"/>
      <c r="K1" s="213"/>
      <c r="L1" s="213"/>
      <c r="M1" s="215"/>
    </row>
    <row r="2" ht="24" customHeight="1" spans="2:18">
      <c r="B2" s="216" t="s">
        <v>18</v>
      </c>
      <c r="C2" s="216"/>
      <c r="D2" s="216"/>
      <c r="E2" s="216"/>
      <c r="F2" s="216"/>
      <c r="G2" s="216"/>
      <c r="H2" s="217"/>
      <c r="I2" s="216"/>
      <c r="J2" s="216"/>
      <c r="K2" s="12"/>
      <c r="L2" s="12"/>
      <c r="M2" s="218"/>
    </row>
    <row r="3" ht="47" spans="2:18">
      <c r="B3" s="80" t="s">
        <v>6</v>
      </c>
      <c r="C3" s="80" t="s">
        <v>19</v>
      </c>
      <c r="D3" s="81" t="s">
        <v>20</v>
      </c>
      <c r="E3" s="81" t="s">
        <v>21</v>
      </c>
      <c r="F3" s="82" t="s">
        <v>7</v>
      </c>
      <c r="G3" s="82" t="s">
        <v>22</v>
      </c>
      <c r="H3" s="83" t="s">
        <v>8</v>
      </c>
      <c r="I3" s="80" t="s">
        <v>23</v>
      </c>
      <c r="J3" s="84" t="s">
        <v>24</v>
      </c>
      <c r="K3" s="85" t="s">
        <v>25</v>
      </c>
      <c r="L3" s="85" t="s">
        <v>26</v>
      </c>
      <c r="M3" s="86" t="s">
        <v>27</v>
      </c>
      <c r="N3" s="219" t="s">
        <v>15</v>
      </c>
    </row>
    <row r="4" ht="87" customHeight="1" spans="2:18">
      <c r="B4" s="81" t="s">
        <v>28</v>
      </c>
      <c r="C4" s="220">
        <v>1</v>
      </c>
      <c r="D4" s="22" t="s">
        <v>29</v>
      </c>
      <c r="E4" s="22" t="s">
        <v>30</v>
      </c>
      <c r="F4" s="24"/>
      <c r="G4" s="25">
        <v>100</v>
      </c>
      <c r="H4" s="22"/>
      <c r="I4" s="27" t="s">
        <v>31</v>
      </c>
      <c r="J4" s="28"/>
      <c r="K4" s="29"/>
      <c r="L4" s="221"/>
      <c r="M4" s="87">
        <f>J4*0.1+K4*0.9</f>
        <v>0</v>
      </c>
      <c r="N4" s="95">
        <f>(M4*F4+M5*F5)*0.8+L4*0.2</f>
        <v>0</v>
      </c>
    </row>
    <row r="5" ht="92" customHeight="1" spans="2:18">
      <c r="B5" s="81"/>
      <c r="C5" s="81"/>
      <c r="D5" s="22" t="s">
        <v>32</v>
      </c>
      <c r="E5" s="22" t="s">
        <v>33</v>
      </c>
      <c r="F5" s="24"/>
      <c r="G5" s="25">
        <v>100</v>
      </c>
      <c r="H5" s="22"/>
      <c r="I5" s="35" t="s">
        <v>34</v>
      </c>
      <c r="J5" s="36"/>
      <c r="K5" s="25"/>
      <c r="L5" s="221"/>
      <c r="M5" s="87">
        <f>J5*0.1+K5*0.9</f>
        <v>0</v>
      </c>
      <c r="N5" s="95"/>
      <c r="P5" s="4"/>
      <c r="Q5" s="4"/>
      <c r="R5" s="4"/>
    </row>
    <row r="6" ht="9" customHeight="1" spans="2:18">
      <c r="B6" s="89"/>
      <c r="C6" s="90"/>
      <c r="D6" s="90"/>
      <c r="E6" s="90"/>
      <c r="F6" s="90"/>
      <c r="G6" s="90"/>
      <c r="H6" s="90"/>
      <c r="I6" s="90"/>
      <c r="J6" s="90"/>
      <c r="K6" s="90"/>
      <c r="L6" s="90"/>
      <c r="M6" s="222"/>
      <c r="N6" s="223"/>
      <c r="P6" s="4"/>
      <c r="Q6" s="4"/>
      <c r="R6" s="4"/>
    </row>
    <row r="7" ht="87" customHeight="1" spans="2:18">
      <c r="B7" s="224" t="s">
        <v>13</v>
      </c>
      <c r="C7" s="225">
        <v>1</v>
      </c>
      <c r="D7" s="38" t="s">
        <v>35</v>
      </c>
      <c r="E7" s="38" t="s">
        <v>36</v>
      </c>
      <c r="F7" s="48"/>
      <c r="G7" s="49">
        <v>100</v>
      </c>
      <c r="H7" s="33"/>
      <c r="I7" s="50" t="s">
        <v>37</v>
      </c>
      <c r="J7" s="51"/>
      <c r="K7" s="40"/>
      <c r="L7" s="37"/>
      <c r="M7" s="226">
        <f>J7*0.1+K7*0.9</f>
        <v>0</v>
      </c>
      <c r="N7" s="95">
        <f>(M7*F7+M8*F8+M9*F9+M10*F10)*0.8+L7*0.2</f>
        <v>0</v>
      </c>
    </row>
    <row r="8" ht="78" spans="2:18">
      <c r="B8" s="81"/>
      <c r="C8" s="81"/>
      <c r="D8" s="155" t="s">
        <v>38</v>
      </c>
      <c r="E8" s="22" t="s">
        <v>39</v>
      </c>
      <c r="F8" s="24"/>
      <c r="G8" s="25">
        <v>100</v>
      </c>
      <c r="H8" s="33"/>
      <c r="I8" s="27" t="s">
        <v>40</v>
      </c>
      <c r="J8" s="52"/>
      <c r="K8" s="29"/>
      <c r="L8" s="37"/>
      <c r="M8" s="87">
        <f>J8*0.1+K8*0.9</f>
        <v>0</v>
      </c>
      <c r="N8" s="95"/>
    </row>
    <row r="9" ht="84" customHeight="1" spans="2:18">
      <c r="B9" s="81"/>
      <c r="C9" s="81"/>
      <c r="D9" s="155" t="s">
        <v>41</v>
      </c>
      <c r="E9" s="22" t="s">
        <v>42</v>
      </c>
      <c r="F9" s="24"/>
      <c r="G9" s="25">
        <v>100</v>
      </c>
      <c r="H9" s="33"/>
      <c r="I9" s="27" t="s">
        <v>43</v>
      </c>
      <c r="J9" s="52"/>
      <c r="K9" s="29"/>
      <c r="L9" s="37"/>
      <c r="M9" s="87">
        <f>J9*0.1+K9*0.9</f>
        <v>0</v>
      </c>
      <c r="N9" s="95"/>
    </row>
    <row r="10" ht="83" customHeight="1" spans="2:18">
      <c r="B10" s="227"/>
      <c r="C10" s="227"/>
      <c r="D10" s="166" t="s">
        <v>44</v>
      </c>
      <c r="E10" s="53" t="s">
        <v>45</v>
      </c>
      <c r="F10" s="54"/>
      <c r="G10" s="55">
        <v>100</v>
      </c>
      <c r="H10" s="33"/>
      <c r="I10" s="56" t="s">
        <v>46</v>
      </c>
      <c r="J10" s="57"/>
      <c r="K10" s="30"/>
      <c r="L10" s="37"/>
      <c r="M10" s="228">
        <f>J10*0.1+K10*0.9</f>
        <v>0</v>
      </c>
      <c r="N10" s="229"/>
      <c r="P10" s="4"/>
      <c r="Q10" s="4"/>
      <c r="R10" s="4"/>
    </row>
    <row r="11" ht="9" customHeight="1" spans="2:18">
      <c r="B11" s="230"/>
      <c r="C11" s="231"/>
      <c r="D11" s="231"/>
      <c r="E11" s="231"/>
      <c r="F11" s="231"/>
      <c r="G11" s="231"/>
      <c r="H11" s="231"/>
      <c r="I11" s="231"/>
      <c r="J11" s="231"/>
      <c r="K11" s="231"/>
      <c r="L11" s="231"/>
      <c r="M11" s="222"/>
      <c r="N11" s="223"/>
    </row>
    <row r="12" ht="91" customHeight="1" spans="2:18">
      <c r="B12" s="224" t="s">
        <v>47</v>
      </c>
      <c r="C12" s="232">
        <v>1</v>
      </c>
      <c r="D12" s="38" t="s">
        <v>48</v>
      </c>
      <c r="E12" s="38" t="s">
        <v>49</v>
      </c>
      <c r="F12" s="48"/>
      <c r="G12" s="49">
        <v>100</v>
      </c>
      <c r="H12" s="33"/>
      <c r="I12" s="233" t="s">
        <v>50</v>
      </c>
      <c r="J12" s="234"/>
      <c r="K12" s="40"/>
      <c r="L12" s="37"/>
      <c r="M12" s="226">
        <f t="shared" ref="M12:M14" si="0">J12*0.1+K12*0.9</f>
        <v>0</v>
      </c>
      <c r="N12" s="95">
        <f>(M12*F12+M13*F13+M14*F14)*0.8+L12*0.2</f>
        <v>0</v>
      </c>
    </row>
    <row r="13" ht="106" customHeight="1" spans="2:18">
      <c r="B13" s="81"/>
      <c r="C13" s="94"/>
      <c r="D13" s="22" t="s">
        <v>51</v>
      </c>
      <c r="E13" s="22" t="s">
        <v>52</v>
      </c>
      <c r="F13" s="48"/>
      <c r="G13" s="25">
        <v>100</v>
      </c>
      <c r="H13" s="33"/>
      <c r="I13" s="58" t="s">
        <v>53</v>
      </c>
      <c r="J13" s="22"/>
      <c r="K13" s="22"/>
      <c r="L13" s="37"/>
      <c r="M13" s="87">
        <f t="shared" si="0"/>
        <v>0</v>
      </c>
      <c r="N13" s="95"/>
    </row>
    <row r="14" ht="97" customHeight="1" spans="2:18">
      <c r="B14" s="81"/>
      <c r="C14" s="224"/>
      <c r="D14" s="22" t="s">
        <v>54</v>
      </c>
      <c r="E14" s="22" t="s">
        <v>55</v>
      </c>
      <c r="F14" s="48"/>
      <c r="G14" s="25">
        <v>100</v>
      </c>
      <c r="H14" s="38"/>
      <c r="I14" s="58" t="s">
        <v>56</v>
      </c>
      <c r="J14" s="22"/>
      <c r="K14" s="22"/>
      <c r="L14" s="40"/>
      <c r="M14" s="87">
        <f t="shared" si="0"/>
        <v>0</v>
      </c>
      <c r="N14" s="95"/>
    </row>
    <row r="15" ht="27" customHeight="1" spans="2:18">
      <c r="B15" s="235" t="s">
        <v>15</v>
      </c>
      <c r="C15" s="236"/>
      <c r="D15" s="236"/>
      <c r="E15" s="236"/>
      <c r="F15" s="236"/>
      <c r="G15" s="236"/>
      <c r="H15" s="236"/>
      <c r="I15" s="236"/>
      <c r="J15" s="236"/>
      <c r="K15" s="236"/>
      <c r="L15" s="165"/>
      <c r="M15" s="237">
        <f>N4*0.3+N7*0.4+N12*0.3</f>
        <v>0</v>
      </c>
    </row>
    <row r="16" ht="56.4" customHeight="1" spans="2:18">
      <c r="B16" s="62" t="s">
        <v>57</v>
      </c>
      <c r="C16" s="63"/>
      <c r="D16" s="63"/>
      <c r="E16" s="63"/>
      <c r="F16" s="63"/>
      <c r="G16" s="63"/>
      <c r="H16" s="63"/>
      <c r="I16" s="238" t="s">
        <v>58</v>
      </c>
      <c r="J16" s="239"/>
      <c r="K16" s="236"/>
      <c r="L16" s="236"/>
      <c r="M16" s="240"/>
    </row>
  </sheetData>
  <sheetProtection algorithmName="SHA-512" hashValue="cKpwlc+PawQkWaDaF6fNG18G3ZwIy9t//giK6sSjxcqiYJTx7kZ3EeCT0VVqaxQHrgDyaR8A7rvfyVsFELukew==" saltValue="sqDZFRBb7ENBve1+ATrI6A==" spinCount="100000" sheet="1" objects="1"/>
  <protectedRanges>
    <protectedRange password="CF7A" sqref="A$1:K$1048576" name="区域2"/>
  </protectedRanges>
  <mergeCells count="19">
    <mergeCell ref="B1:M1"/>
    <mergeCell ref="B6:L6"/>
    <mergeCell ref="B15:L15"/>
    <mergeCell ref="B16:H16"/>
    <mergeCell ref="B4:B5"/>
    <mergeCell ref="B7:B10"/>
    <mergeCell ref="B12:B14"/>
    <mergeCell ref="C4:C5"/>
    <mergeCell ref="C7:C10"/>
    <mergeCell ref="C12:C14"/>
    <mergeCell ref="H4:H5"/>
    <mergeCell ref="H7:H10"/>
    <mergeCell ref="H12:H14"/>
    <mergeCell ref="L4:L5"/>
    <mergeCell ref="L7:L10"/>
    <mergeCell ref="L12:L14"/>
    <mergeCell ref="N4:N5"/>
    <mergeCell ref="N7:N10"/>
    <mergeCell ref="N12:N14"/>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G8"/>
  <sheetViews>
    <sheetView workbookViewId="0">
      <selection activeCell="D16" sqref="D16"/>
    </sheetView>
  </sheetViews>
  <sheetFormatPr defaultColWidth="8.25" defaultRowHeight="16.8" outlineLevelRow="7" outlineLevelCol="6"/>
  <cols>
    <col min="1" max="1" width="4.40178571428571" customWidth="1"/>
    <col min="2" max="2" width="25.4821428571429" customWidth="1"/>
    <col min="3" max="3" width="7.51785714285714" customWidth="1"/>
    <col min="4" max="4" width="46.4732142857143" customWidth="1"/>
    <col min="5" max="6" width="9.53571428571429" customWidth="1"/>
    <col min="7" max="7" width="17.7857142857143" customWidth="1"/>
  </cols>
  <sheetData>
    <row r="1" customFormat="1" ht="38.15" customHeight="1" spans="2:7">
      <c r="B1" s="65" t="s">
        <v>4</v>
      </c>
      <c r="C1" s="65"/>
      <c r="D1" s="65"/>
      <c r="E1" s="65"/>
      <c r="F1" s="65"/>
      <c r="G1" s="65"/>
    </row>
    <row r="2" customFormat="1" ht="25.25" customHeight="1" spans="2:7">
      <c r="B2" s="66" t="s">
        <v>5</v>
      </c>
      <c r="C2" s="66"/>
      <c r="D2" s="66"/>
      <c r="E2" s="66"/>
      <c r="F2" s="66"/>
      <c r="G2" s="66"/>
    </row>
    <row r="3" customFormat="1" ht="27.95" customHeight="1" spans="2:7">
      <c r="B3" s="67" t="s">
        <v>6</v>
      </c>
      <c r="C3" s="67" t="s">
        <v>7</v>
      </c>
      <c r="D3" s="68" t="s">
        <v>8</v>
      </c>
      <c r="E3" s="68" t="s">
        <v>9</v>
      </c>
      <c r="F3" s="68" t="s">
        <v>10</v>
      </c>
      <c r="G3" s="68" t="s">
        <v>11</v>
      </c>
    </row>
    <row r="4" customFormat="1" ht="68.25" customHeight="1" spans="2:7">
      <c r="B4" s="69" t="s">
        <v>12</v>
      </c>
      <c r="C4" s="70">
        <v>0.3</v>
      </c>
      <c r="D4" s="66">
        <f>产品岗明细!H4</f>
        <v>0</v>
      </c>
      <c r="E4" s="66"/>
      <c r="F4" s="66">
        <f>产品岗明细!N4</f>
        <v>0</v>
      </c>
      <c r="G4" s="67">
        <f t="shared" ref="G4:G6" si="0">F4*C4</f>
        <v>0</v>
      </c>
    </row>
    <row r="5" customFormat="1" ht="61.25" customHeight="1" spans="2:7">
      <c r="B5" s="69" t="s">
        <v>13</v>
      </c>
      <c r="C5" s="70">
        <v>0.4</v>
      </c>
      <c r="D5" s="66">
        <f>产品岗明细!H8</f>
        <v>0</v>
      </c>
      <c r="E5" s="66"/>
      <c r="F5" s="66">
        <f>产品岗明细!N8</f>
        <v>0</v>
      </c>
      <c r="G5" s="67">
        <f t="shared" si="0"/>
        <v>0</v>
      </c>
    </row>
    <row r="6" customFormat="1" ht="54.8" customHeight="1" spans="2:7">
      <c r="B6" s="71" t="s">
        <v>14</v>
      </c>
      <c r="C6" s="70">
        <v>0.3</v>
      </c>
      <c r="D6" s="72">
        <f>产品岗明细!H13</f>
        <v>0</v>
      </c>
      <c r="E6" s="72"/>
      <c r="F6" s="66">
        <f>产品岗明细!N13</f>
        <v>0</v>
      </c>
      <c r="G6" s="67">
        <f t="shared" si="0"/>
        <v>0</v>
      </c>
    </row>
    <row r="7" customFormat="1" ht="22.05" customHeight="1" spans="2:7">
      <c r="B7" s="67" t="s">
        <v>15</v>
      </c>
      <c r="C7" s="67"/>
      <c r="D7" s="67"/>
      <c r="E7" s="67"/>
      <c r="F7" s="67"/>
      <c r="G7" s="67">
        <f>SUM(G4:G6)</f>
        <v>0</v>
      </c>
    </row>
    <row r="8" customFormat="1" ht="42.45" customHeight="1" spans="2:7">
      <c r="B8" s="73" t="s">
        <v>16</v>
      </c>
      <c r="C8" s="74"/>
      <c r="D8" s="73" t="s">
        <v>17</v>
      </c>
      <c r="E8" s="75"/>
      <c r="F8" s="75"/>
      <c r="G8" s="74"/>
    </row>
  </sheetData>
  <mergeCells count="5">
    <mergeCell ref="B1:G1"/>
    <mergeCell ref="B2:G2"/>
    <mergeCell ref="B7:F7"/>
    <mergeCell ref="B8:C8"/>
    <mergeCell ref="D8:G8"/>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R19"/>
  <sheetViews>
    <sheetView zoomScale="80" zoomScaleNormal="80" workbookViewId="0">
      <pane xSplit="3" ySplit="3" topLeftCell="D7" activePane="bottomRight" state="frozen"/>
      <selection/>
      <selection pane="topRight"/>
      <selection pane="bottomLeft"/>
      <selection pane="bottomRight" activeCell="H8" sqref="H8:H11"/>
    </sheetView>
  </sheetViews>
  <sheetFormatPr defaultColWidth="8.21428571428571" defaultRowHeight="16.8"/>
  <cols>
    <col min="1" max="1" width="1.21428571428571" style="1" customWidth="1"/>
    <col min="2" max="2" width="7.89285714285714" style="1" customWidth="1"/>
    <col min="3" max="4" width="8.6875" style="2" customWidth="1"/>
    <col min="5" max="5" width="16.4196428571429" style="3" customWidth="1"/>
    <col min="6" max="6" width="8.61607142857143" style="1" customWidth="1"/>
    <col min="7" max="7" width="7.21428571428571" style="1" customWidth="1"/>
    <col min="8" max="8" width="38.3303571428571" style="4" customWidth="1"/>
    <col min="9" max="9" width="74.6339285714286" style="1" customWidth="1"/>
    <col min="10" max="10" width="9.84821428571429" style="5" customWidth="1"/>
    <col min="11" max="12" width="10" style="6" customWidth="1"/>
    <col min="13" max="13" width="10.9196428571429" style="76" customWidth="1"/>
    <col min="14" max="14" width="13.5803571428571" style="77" customWidth="1"/>
    <col min="15" max="16384" width="8.21428571428571" style="1"/>
  </cols>
  <sheetData>
    <row r="1" ht="19.2" spans="2:18">
      <c r="B1" s="8" t="s">
        <v>4</v>
      </c>
      <c r="C1" s="8"/>
      <c r="D1" s="8"/>
      <c r="E1" s="8"/>
      <c r="F1" s="8"/>
      <c r="G1" s="8"/>
      <c r="H1" s="9"/>
      <c r="I1" s="8"/>
      <c r="J1" s="8"/>
      <c r="K1" s="8"/>
      <c r="L1" s="8"/>
      <c r="M1" s="78"/>
    </row>
    <row r="2" ht="24" customHeight="1" spans="2:18">
      <c r="B2" s="11" t="s">
        <v>18</v>
      </c>
      <c r="C2" s="12"/>
      <c r="D2" s="12"/>
      <c r="E2" s="12"/>
      <c r="F2" s="11"/>
      <c r="G2" s="11"/>
      <c r="H2" s="13"/>
      <c r="I2" s="11"/>
      <c r="J2" s="11"/>
      <c r="K2" s="11"/>
      <c r="L2" s="11"/>
      <c r="M2" s="79"/>
    </row>
    <row r="3" ht="47" spans="2:18">
      <c r="B3" s="80" t="s">
        <v>6</v>
      </c>
      <c r="C3" s="80" t="s">
        <v>20</v>
      </c>
      <c r="D3" s="80" t="s">
        <v>19</v>
      </c>
      <c r="E3" s="81" t="s">
        <v>21</v>
      </c>
      <c r="F3" s="82" t="s">
        <v>7</v>
      </c>
      <c r="G3" s="82" t="s">
        <v>22</v>
      </c>
      <c r="H3" s="83" t="s">
        <v>8</v>
      </c>
      <c r="I3" s="80" t="s">
        <v>23</v>
      </c>
      <c r="J3" s="84" t="s">
        <v>24</v>
      </c>
      <c r="K3" s="85" t="s">
        <v>25</v>
      </c>
      <c r="L3" s="85" t="s">
        <v>59</v>
      </c>
      <c r="M3" s="86" t="s">
        <v>27</v>
      </c>
      <c r="N3" s="86" t="s">
        <v>15</v>
      </c>
    </row>
    <row r="4" ht="118" customHeight="1" spans="2:18">
      <c r="B4" s="81" t="s">
        <v>28</v>
      </c>
      <c r="C4" s="22" t="s">
        <v>60</v>
      </c>
      <c r="D4" s="23">
        <v>1</v>
      </c>
      <c r="E4" s="22" t="s">
        <v>61</v>
      </c>
      <c r="F4" s="24"/>
      <c r="G4" s="25">
        <v>100</v>
      </c>
      <c r="H4" s="26"/>
      <c r="I4" s="27" t="s">
        <v>62</v>
      </c>
      <c r="J4" s="28"/>
      <c r="K4" s="29"/>
      <c r="L4" s="30"/>
      <c r="M4" s="87">
        <f>J4*0.1+K4*0.9</f>
        <v>0</v>
      </c>
      <c r="N4" s="88">
        <f>(M4*F4+M5*F5+M6*F6)*0.8+L4*0.2</f>
        <v>0</v>
      </c>
    </row>
    <row r="5" ht="141" customHeight="1" spans="2:18">
      <c r="B5" s="81"/>
      <c r="C5" s="22" t="s">
        <v>63</v>
      </c>
      <c r="D5" s="33"/>
      <c r="E5" s="22" t="s">
        <v>64</v>
      </c>
      <c r="F5" s="24"/>
      <c r="G5" s="25">
        <v>100</v>
      </c>
      <c r="H5" s="34"/>
      <c r="I5" s="35" t="s">
        <v>65</v>
      </c>
      <c r="J5" s="36"/>
      <c r="K5" s="25"/>
      <c r="L5" s="37"/>
      <c r="M5" s="87">
        <f>J5*0.1+K5*0.9</f>
        <v>0</v>
      </c>
      <c r="N5" s="88"/>
      <c r="P5" s="4"/>
      <c r="Q5" s="4"/>
      <c r="R5" s="4"/>
    </row>
    <row r="6" ht="47" spans="2:18">
      <c r="B6" s="81"/>
      <c r="C6" s="22" t="s">
        <v>66</v>
      </c>
      <c r="D6" s="38"/>
      <c r="E6" s="22" t="s">
        <v>67</v>
      </c>
      <c r="F6" s="24"/>
      <c r="G6" s="25">
        <v>100</v>
      </c>
      <c r="H6" s="39"/>
      <c r="I6" s="35" t="s">
        <v>68</v>
      </c>
      <c r="J6" s="36"/>
      <c r="K6" s="29"/>
      <c r="L6" s="40"/>
      <c r="M6" s="87">
        <f>J6*0.1+K6*0.9</f>
        <v>0</v>
      </c>
      <c r="N6" s="88"/>
      <c r="P6" s="4"/>
      <c r="Q6" s="4"/>
      <c r="R6" s="4"/>
    </row>
    <row r="7" ht="12" customHeight="1" spans="2:18">
      <c r="B7" s="89"/>
      <c r="C7" s="90"/>
      <c r="D7" s="90"/>
      <c r="E7" s="90"/>
      <c r="F7" s="90"/>
      <c r="G7" s="90"/>
      <c r="H7" s="90"/>
      <c r="I7" s="90"/>
      <c r="J7" s="90"/>
      <c r="K7" s="90"/>
      <c r="L7" s="91"/>
      <c r="M7" s="92"/>
      <c r="N7" s="93"/>
    </row>
    <row r="8" ht="185" customHeight="1" spans="2:18">
      <c r="B8" s="94" t="s">
        <v>13</v>
      </c>
      <c r="C8" s="38" t="s">
        <v>69</v>
      </c>
      <c r="D8" s="47">
        <v>1</v>
      </c>
      <c r="E8" s="38" t="s">
        <v>70</v>
      </c>
      <c r="F8" s="48"/>
      <c r="G8" s="49">
        <v>100</v>
      </c>
      <c r="H8" s="34"/>
      <c r="I8" s="50" t="s">
        <v>71</v>
      </c>
      <c r="J8" s="51"/>
      <c r="K8" s="40"/>
      <c r="L8" s="37"/>
      <c r="M8" s="87">
        <f>J8*0.1+K8*0.9</f>
        <v>0</v>
      </c>
      <c r="N8" s="88">
        <f>(M8*F8+M9*F9+M10*F10+F11*M11)*0.8+L8*0.2</f>
        <v>0</v>
      </c>
    </row>
    <row r="9" ht="78" spans="2:18">
      <c r="B9" s="94"/>
      <c r="C9" s="22" t="s">
        <v>72</v>
      </c>
      <c r="D9" s="33"/>
      <c r="E9" s="22" t="s">
        <v>73</v>
      </c>
      <c r="F9" s="24"/>
      <c r="G9" s="25">
        <v>100</v>
      </c>
      <c r="H9" s="34"/>
      <c r="I9" s="27" t="s">
        <v>74</v>
      </c>
      <c r="J9" s="52"/>
      <c r="K9" s="29"/>
      <c r="L9" s="37"/>
      <c r="M9" s="87">
        <f>J9*0.1+K9*0.9</f>
        <v>0</v>
      </c>
      <c r="N9" s="88"/>
    </row>
    <row r="10" ht="136" customHeight="1" spans="2:18">
      <c r="B10" s="94"/>
      <c r="C10" s="22"/>
      <c r="D10" s="33"/>
      <c r="E10" s="22" t="s">
        <v>75</v>
      </c>
      <c r="F10" s="24"/>
      <c r="G10" s="25">
        <v>100</v>
      </c>
      <c r="H10" s="34"/>
      <c r="I10" s="27" t="s">
        <v>76</v>
      </c>
      <c r="J10" s="52"/>
      <c r="K10" s="29"/>
      <c r="L10" s="37"/>
      <c r="M10" s="87">
        <f>J10*0.1+K10*0.9</f>
        <v>0</v>
      </c>
      <c r="N10" s="88"/>
    </row>
    <row r="11" ht="83" customHeight="1" spans="2:18">
      <c r="B11" s="94"/>
      <c r="C11" s="53"/>
      <c r="D11" s="33"/>
      <c r="E11" s="53" t="s">
        <v>77</v>
      </c>
      <c r="F11" s="54"/>
      <c r="G11" s="55">
        <v>100</v>
      </c>
      <c r="H11" s="34"/>
      <c r="I11" s="56" t="s">
        <v>78</v>
      </c>
      <c r="J11" s="57"/>
      <c r="K11" s="30"/>
      <c r="L11" s="37"/>
      <c r="M11" s="87">
        <f>J11*0.1+K11*0.9</f>
        <v>0</v>
      </c>
      <c r="N11" s="88"/>
      <c r="P11" s="4"/>
      <c r="Q11" s="4"/>
      <c r="R11" s="4"/>
    </row>
    <row r="12" ht="14" customHeight="1" spans="2:18">
      <c r="B12" s="89"/>
      <c r="C12" s="90"/>
      <c r="D12" s="90"/>
      <c r="E12" s="90"/>
      <c r="F12" s="90"/>
      <c r="G12" s="90"/>
      <c r="H12" s="90"/>
      <c r="I12" s="90"/>
      <c r="J12" s="90"/>
      <c r="K12" s="91"/>
      <c r="L12" s="91"/>
      <c r="M12" s="92"/>
      <c r="N12" s="93"/>
    </row>
    <row r="13" ht="118" customHeight="1" spans="2:18">
      <c r="B13" s="81" t="s">
        <v>47</v>
      </c>
      <c r="C13" s="25" t="s">
        <v>79</v>
      </c>
      <c r="D13" s="54">
        <v>1</v>
      </c>
      <c r="E13" s="22" t="s">
        <v>80</v>
      </c>
      <c r="F13" s="24"/>
      <c r="G13" s="25">
        <v>100</v>
      </c>
      <c r="H13" s="58"/>
      <c r="I13" s="27" t="s">
        <v>81</v>
      </c>
      <c r="J13" s="52"/>
      <c r="K13" s="29"/>
      <c r="L13" s="29"/>
      <c r="M13" s="87">
        <f t="shared" ref="M13:M17" si="0">J13*0.1+K13*0.9</f>
        <v>0</v>
      </c>
      <c r="N13" s="88">
        <f>(M13*F13+M14*F14+M15*F15+M16*F16+M17*F17)*0.8+L13*0.2</f>
        <v>0</v>
      </c>
    </row>
    <row r="14" ht="153" customHeight="1" spans="2:18">
      <c r="B14" s="81"/>
      <c r="C14" s="25" t="s">
        <v>82</v>
      </c>
      <c r="D14" s="59"/>
      <c r="E14" s="22" t="s">
        <v>83</v>
      </c>
      <c r="F14" s="22"/>
      <c r="G14" s="25">
        <v>100</v>
      </c>
      <c r="H14" s="58"/>
      <c r="I14" s="58" t="s">
        <v>84</v>
      </c>
      <c r="J14" s="22"/>
      <c r="K14" s="22"/>
      <c r="L14" s="29"/>
      <c r="M14" s="87">
        <f t="shared" si="0"/>
        <v>0</v>
      </c>
      <c r="N14" s="88"/>
    </row>
    <row r="15" ht="133" customHeight="1" spans="2:18">
      <c r="B15" s="81"/>
      <c r="C15" s="25" t="s">
        <v>85</v>
      </c>
      <c r="D15" s="59"/>
      <c r="E15" s="22" t="s">
        <v>86</v>
      </c>
      <c r="F15" s="22"/>
      <c r="G15" s="25">
        <v>100</v>
      </c>
      <c r="H15" s="58"/>
      <c r="I15" s="58" t="s">
        <v>87</v>
      </c>
      <c r="J15" s="22"/>
      <c r="K15" s="22"/>
      <c r="L15" s="29"/>
      <c r="M15" s="87">
        <f t="shared" si="0"/>
        <v>0</v>
      </c>
      <c r="N15" s="88"/>
    </row>
    <row r="16" ht="146" customHeight="1" spans="2:18">
      <c r="B16" s="81"/>
      <c r="C16" s="25" t="s">
        <v>88</v>
      </c>
      <c r="D16" s="59"/>
      <c r="E16" s="22" t="s">
        <v>89</v>
      </c>
      <c r="F16" s="22"/>
      <c r="G16" s="25">
        <v>100</v>
      </c>
      <c r="H16" s="58"/>
      <c r="I16" s="58" t="s">
        <v>90</v>
      </c>
      <c r="J16" s="22"/>
      <c r="K16" s="22"/>
      <c r="L16" s="29"/>
      <c r="M16" s="87">
        <f t="shared" si="0"/>
        <v>0</v>
      </c>
      <c r="N16" s="88"/>
    </row>
    <row r="17" ht="175" customHeight="1" spans="2:14">
      <c r="B17" s="81"/>
      <c r="C17" s="25" t="s">
        <v>91</v>
      </c>
      <c r="D17" s="49"/>
      <c r="E17" s="22" t="s">
        <v>92</v>
      </c>
      <c r="F17" s="22"/>
      <c r="G17" s="25">
        <v>100</v>
      </c>
      <c r="H17" s="58"/>
      <c r="I17" s="58" t="s">
        <v>93</v>
      </c>
      <c r="J17" s="22"/>
      <c r="K17" s="22"/>
      <c r="L17" s="29"/>
      <c r="M17" s="87">
        <f t="shared" si="0"/>
        <v>0</v>
      </c>
      <c r="N17" s="88"/>
    </row>
    <row r="18" ht="35.4" customHeight="1" spans="2:14">
      <c r="B18" s="22" t="s">
        <v>15</v>
      </c>
      <c r="C18" s="22"/>
      <c r="D18" s="22"/>
      <c r="E18" s="22"/>
      <c r="F18" s="22"/>
      <c r="G18" s="22"/>
      <c r="H18" s="22"/>
      <c r="I18" s="22"/>
      <c r="J18" s="22"/>
      <c r="K18" s="22"/>
      <c r="L18" s="22"/>
      <c r="M18" s="95">
        <f>N4*0.3+N8*0.4+N13*0.3</f>
        <v>0</v>
      </c>
    </row>
    <row r="19" ht="56.4" customHeight="1" spans="2:14">
      <c r="B19" s="62" t="s">
        <v>57</v>
      </c>
      <c r="C19" s="63"/>
      <c r="D19" s="63"/>
      <c r="E19" s="63"/>
      <c r="F19" s="63"/>
      <c r="G19" s="63"/>
      <c r="H19" s="63"/>
      <c r="I19" s="62" t="s">
        <v>58</v>
      </c>
      <c r="J19" s="63"/>
      <c r="K19" s="63"/>
      <c r="L19" s="63"/>
      <c r="M19" s="96"/>
    </row>
  </sheetData>
  <sheetProtection algorithmName="SHA-512" hashValue="bsF2H8Tv3QH2yXGK1tltCj2d9caWBXq0TaemlnxdQ3NhOMA71b/BdSxwbV5B5kzGNiRX/7GLZue4TfsvokRPhw==" saltValue="4GxZ96OvyrBPlampfA+PkQ==" spinCount="100000" sheet="1" objects="1"/>
  <mergeCells count="23">
    <mergeCell ref="B1:M1"/>
    <mergeCell ref="B2:M2"/>
    <mergeCell ref="B7:L7"/>
    <mergeCell ref="B12:K12"/>
    <mergeCell ref="B18:L18"/>
    <mergeCell ref="B19:H19"/>
    <mergeCell ref="I19:M19"/>
    <mergeCell ref="B4:B6"/>
    <mergeCell ref="B8:B11"/>
    <mergeCell ref="B13:B17"/>
    <mergeCell ref="C9:C11"/>
    <mergeCell ref="D4:D6"/>
    <mergeCell ref="D8:D11"/>
    <mergeCell ref="D13:D17"/>
    <mergeCell ref="H4:H6"/>
    <mergeCell ref="H8:H11"/>
    <mergeCell ref="H13:H17"/>
    <mergeCell ref="L4:L6"/>
    <mergeCell ref="L8:L11"/>
    <mergeCell ref="L13:L17"/>
    <mergeCell ref="N4:N6"/>
    <mergeCell ref="N8:N11"/>
    <mergeCell ref="N13:N17"/>
  </mergeCells>
  <printOptions horizontalCentered="1" verticalCentered="1"/>
  <pageMargins left="0.0388888888888889" right="0.0388888888888889" top="0.196527777777778" bottom="0.196527777777778" header="0" footer="0"/>
  <pageSetup paperSize="9" scale="52" fitToWidth="0"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G8"/>
  <sheetViews>
    <sheetView workbookViewId="0">
      <selection activeCell="B1" sqref="B1:G1"/>
    </sheetView>
  </sheetViews>
  <sheetFormatPr defaultColWidth="8.25" defaultRowHeight="16.8" outlineLevelRow="7" outlineLevelCol="6"/>
  <cols>
    <col min="1" max="1" width="4.40178571428571" customWidth="1"/>
    <col min="2" max="2" width="25.4821428571429" customWidth="1"/>
    <col min="3" max="3" width="7.51785714285714" customWidth="1"/>
    <col min="4" max="4" width="46.4732142857143" customWidth="1"/>
    <col min="5" max="6" width="9.53571428571429" customWidth="1"/>
    <col min="7" max="7" width="17.7857142857143" customWidth="1"/>
  </cols>
  <sheetData>
    <row r="1" customFormat="1" ht="38.15" customHeight="1" spans="2:7">
      <c r="B1" s="65" t="s">
        <v>4</v>
      </c>
      <c r="C1" s="65"/>
      <c r="D1" s="65"/>
      <c r="E1" s="65"/>
      <c r="F1" s="65"/>
      <c r="G1" s="65"/>
    </row>
    <row r="2" customFormat="1" ht="25.25" customHeight="1" spans="2:7">
      <c r="B2" s="66" t="s">
        <v>5</v>
      </c>
      <c r="C2" s="66"/>
      <c r="D2" s="66"/>
      <c r="E2" s="66"/>
      <c r="F2" s="66"/>
      <c r="G2" s="66"/>
    </row>
    <row r="3" customFormat="1" ht="27.95" customHeight="1" spans="2:7">
      <c r="B3" s="67" t="s">
        <v>6</v>
      </c>
      <c r="C3" s="67" t="s">
        <v>7</v>
      </c>
      <c r="D3" s="68" t="s">
        <v>8</v>
      </c>
      <c r="E3" s="68" t="s">
        <v>9</v>
      </c>
      <c r="F3" s="68" t="s">
        <v>10</v>
      </c>
      <c r="G3" s="68" t="s">
        <v>11</v>
      </c>
    </row>
    <row r="4" customFormat="1" ht="68.25" customHeight="1" spans="2:7">
      <c r="B4" s="69" t="s">
        <v>12</v>
      </c>
      <c r="C4" s="70">
        <v>0.3</v>
      </c>
      <c r="D4" s="66" t="str">
        <f>研发岗明细!H4</f>
        <v>任务完成率：本季度个人主导并高质量完成 TMS 结算服务迁移（CHJY-23808）、结算信息支持修改回单付（CHJY-21625）、TMS 支持融合网货撮合运单（CHJY-25144）、服务大厅二级频道扩充（RZMP-8178）等核心需求，覆盖 TMS 结算平台、物流 Web 端、货主移动端、企服运营后台等多业务线，整体任务按计划完成率达 95% 以上，交付达成率 100%，所有需求均按期上线。
交付质量：主导 TMS 结算服务迁移，将客户对账、日常收支、在途费用等 42 个接口、5 大模块由老链路切换至独立 TMS 结算服务，设计接口级灰度开关配合三层静默兜底机制（开关异常、新服务异常、启动失败均自动回退老链路），实现 20 个页面组件零改动、仅 5 个列表页接入开关刷新，切换过程无业务中断；结算信息支持修改回单付（C147.9）为直接影响资金准确性的核心链路改造，通过 BigNumber 精度控制与触发来源区分，PC 与 H5 双端行为一致，上线后运行稳定无资金类事故；9 月独立承接企服线首个核心模块，从 0 搭建活动专区、智能体市场、行业资讯三个二级频道约 8000 行代码，采用模块化 + 可配置化架构，后续新增频道边际成本极低。上线后系统运行稳定，无重大生产事故。</v>
      </c>
      <c r="E4" s="66"/>
      <c r="F4" s="66">
        <f>研发岗明细!N4</f>
        <v>0</v>
      </c>
      <c r="G4" s="67">
        <f t="shared" ref="G4:G6" si="0">F4*C4</f>
        <v>0</v>
      </c>
    </row>
    <row r="5" customFormat="1" ht="61.25" customHeight="1" spans="2:7">
      <c r="B5" s="69" t="s">
        <v>13</v>
      </c>
      <c r="C5" s="70">
        <v>0.4</v>
      </c>
      <c r="D5" s="66" t="str">
        <f>研发岗明细!H7</f>
        <v>交付质量：本季度代码交付质量稳定，提测前均进行自测与 ESLint 校验，提测后无重大 Bug。TMS 结算服务迁移（CHJY-23808）与企服线服务大厅二级频道扩充（RZMP-8178）两项核心模块投入周期长、架构复杂度高，前者涉及 42 个接口的跨服务切换与历史重复接口治理，后者为从 0 搭建的新项目首个核心功能，两项交付后均运行稳定，无核心用户体验投诉。
专业技术与规范：迁移过程中主动阅读 @wlydfe/service 请求组装源码，确认两种接口前缀写法最终路径等价后统一在途费用重复定义的问题，收敛历史隐患；严格遵循开发规范执行全流程，需求改动同步维护改动清单与接口说明文档，TMS 迁移累计产出 5 份方案文档（含 42 个接口逐个标注服务与数据表的梳理表），技术文档完整准确且及时更新；主动与后端沟通对接，确保技术实现与业务目标高度对齐，流程合规度 100%。</v>
      </c>
      <c r="E5" s="66"/>
      <c r="F5" s="66">
        <f>研发岗明细!N7</f>
        <v>0</v>
      </c>
      <c r="G5" s="67">
        <f t="shared" si="0"/>
        <v>0</v>
      </c>
    </row>
    <row r="6" customFormat="1" ht="54.8" customHeight="1" spans="2:7">
      <c r="B6" s="71" t="s">
        <v>14</v>
      </c>
      <c r="C6" s="70">
        <v>0.3</v>
      </c>
      <c r="D6" s="72" t="str">
        <f>研发岗明细!H12</f>
        <v>1. 责任心与协作： 主动承接 TMS 结算服务迁移（CHJY-23808）这一跨服务、跨团队的架构改造任务，独立完成 42 个接口的前端侧梳理与方案设计，逐个标注对应服务与数据表，输出交接文档作为前后端协作基准；积极配合产品、测试及后端同事，在后端服务拆分与网关配置期间主动同步进度、对齐风险，保障迁移平稳落地。
2. 主动思考与沟通： 针对服务迁移的全量切换风险，独立设计「接口级灰度开关 + 开关关/未命中/异常三层静默兜底」方案，并补充静默请求、并发去重、时间节流、启动不阻断等细节实现，将页面层改动收敛至 5 处；针对企服线二级频道的可扩展性要求，主动采用模块目录隔离 + 组合式函数复用的架构设计；延续 Q2 的 AI 辅助开发实践，将 AI 工具链从单一 Skill 扩展为覆盖需求分析、代码分析、代码审查、缺陷排查、知识沉淀的完整体系，并沉淀 12 篇研发流程 SOP 文档供团队使用。
3. 扛责担当与客户导向： 结算信息支持修改回单付（C147.9）涉及资金计算且需 PC/H5 双端行为一致，主动识别并处理浮点精度、异常数据、移动端键盘限制等多类边界问题；C169.6 融合网货撮合运单横跨 TMS PC 端、物流 Web 端、货主移动端三端并行交付，按业务方诉求快速响应多轮调整（期间需求调整类变更 11 次），保障功能按期上线。
4. 人才发展与知识传承： 保持高频学习与输出，主动梳理 TMS 结算迁移、企服线二级频道配置等新技术难点并形成改动清单、方案文档与改动清单；建立 AI 辅助开发四端规则同步与知识库自动生成机制，将知识库维护从手工转为脚本产出，降低团队重复劳动成本。</v>
      </c>
      <c r="E6" s="72"/>
      <c r="F6" s="66">
        <f>研发岗明细!N12</f>
        <v>0</v>
      </c>
      <c r="G6" s="67">
        <f t="shared" si="0"/>
        <v>0</v>
      </c>
    </row>
    <row r="7" customFormat="1" ht="22.05" customHeight="1" spans="2:7">
      <c r="B7" s="67" t="s">
        <v>15</v>
      </c>
      <c r="C7" s="67"/>
      <c r="D7" s="67"/>
      <c r="E7" s="67"/>
      <c r="F7" s="67"/>
      <c r="G7" s="67">
        <f>SUM(G4:G6)</f>
        <v>0</v>
      </c>
    </row>
    <row r="8" customFormat="1" ht="42.45" customHeight="1" spans="2:7">
      <c r="B8" s="73" t="s">
        <v>16</v>
      </c>
      <c r="C8" s="74"/>
      <c r="D8" s="73" t="s">
        <v>17</v>
      </c>
      <c r="E8" s="75"/>
      <c r="F8" s="75"/>
      <c r="G8" s="74"/>
    </row>
  </sheetData>
  <mergeCells count="5">
    <mergeCell ref="B1:G1"/>
    <mergeCell ref="B2:G2"/>
    <mergeCell ref="B7:F7"/>
    <mergeCell ref="B8:C8"/>
    <mergeCell ref="D8:G8"/>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N19"/>
  <sheetViews>
    <sheetView tabSelected="1" workbookViewId="0">
      <pane xSplit="3" ySplit="3" topLeftCell="D4" activePane="bottomRight" state="frozen"/>
      <selection/>
      <selection pane="topRight"/>
      <selection pane="bottomLeft"/>
      <selection pane="bottomRight" activeCell="I5" sqref="I5"/>
    </sheetView>
  </sheetViews>
  <sheetFormatPr defaultColWidth="8.25" defaultRowHeight="15.6"/>
  <cols>
    <col min="1" max="1" width="1.91964285714286" style="148" customWidth="1"/>
    <col min="2" max="2" width="9.16964285714286" style="150" customWidth="1"/>
    <col min="3" max="3" width="8.83035714285714" style="150" customWidth="1"/>
    <col min="4" max="4" width="8.58035714285714" style="150" customWidth="1"/>
    <col min="5" max="5" width="23.3303571428571" style="185" customWidth="1"/>
    <col min="6" max="6" width="9.25" style="148" customWidth="1"/>
    <col min="7" max="7" width="9.40178571428571" style="148" customWidth="1"/>
    <col min="8" max="8" width="27.25" style="150" customWidth="1"/>
    <col min="9" max="9" width="63.0267857142857" style="148" customWidth="1"/>
    <col min="10" max="10" width="10.8303571428571" style="148" customWidth="1"/>
    <col min="11" max="11" width="11" style="148" customWidth="1"/>
    <col min="12" max="12" width="10.5" style="148" customWidth="1"/>
    <col min="13" max="13" width="9.58035714285714" style="152" customWidth="1"/>
    <col min="14" max="14" width="10.5" style="152" customWidth="1"/>
    <col min="15" max="16384" width="8.25" style="148"/>
  </cols>
  <sheetData>
    <row r="1" s="148" customFormat="1" ht="31.15" customHeight="1" spans="2:14">
      <c r="B1" s="101" t="s">
        <v>4</v>
      </c>
      <c r="C1" s="101"/>
      <c r="D1" s="101"/>
      <c r="E1" s="101"/>
      <c r="F1" s="102"/>
      <c r="G1" s="102"/>
      <c r="H1" s="101"/>
      <c r="I1" s="102"/>
      <c r="J1" s="102"/>
      <c r="K1" s="102"/>
      <c r="L1" s="102"/>
      <c r="M1" s="103"/>
      <c r="N1" s="152"/>
    </row>
    <row r="2" s="148" customFormat="1" ht="21" customHeight="1" spans="2:14">
      <c r="B2" s="13" t="s">
        <v>94</v>
      </c>
      <c r="C2" s="104"/>
      <c r="D2" s="104"/>
      <c r="E2" s="104"/>
      <c r="F2" s="11"/>
      <c r="G2" s="11"/>
      <c r="H2" s="13"/>
      <c r="I2" s="11"/>
      <c r="J2" s="11"/>
      <c r="K2" s="11"/>
      <c r="L2" s="11"/>
      <c r="M2" s="79"/>
      <c r="N2" s="152"/>
    </row>
    <row r="3" s="148" customFormat="1" ht="45.4" customHeight="1" spans="2:14">
      <c r="B3" s="81" t="s">
        <v>6</v>
      </c>
      <c r="C3" s="81" t="s">
        <v>20</v>
      </c>
      <c r="D3" s="81" t="s">
        <v>19</v>
      </c>
      <c r="E3" s="81" t="s">
        <v>21</v>
      </c>
      <c r="F3" s="82" t="s">
        <v>7</v>
      </c>
      <c r="G3" s="82" t="s">
        <v>22</v>
      </c>
      <c r="H3" s="83" t="s">
        <v>8</v>
      </c>
      <c r="I3" s="80" t="s">
        <v>23</v>
      </c>
      <c r="J3" s="84" t="s">
        <v>24</v>
      </c>
      <c r="K3" s="85" t="s">
        <v>25</v>
      </c>
      <c r="L3" s="85" t="s">
        <v>59</v>
      </c>
      <c r="M3" s="86" t="s">
        <v>27</v>
      </c>
      <c r="N3" s="86" t="s">
        <v>15</v>
      </c>
    </row>
    <row r="4" s="148" customFormat="1" ht="133.15" customHeight="1" spans="2:14">
      <c r="B4" s="105" t="s">
        <v>28</v>
      </c>
      <c r="C4" s="22" t="s">
        <v>95</v>
      </c>
      <c r="D4" s="23">
        <v>1</v>
      </c>
      <c r="E4" s="22" t="s">
        <v>96</v>
      </c>
      <c r="F4" s="24"/>
      <c r="G4" s="25">
        <v>100</v>
      </c>
      <c r="H4" s="53" t="s">
        <v>97</v>
      </c>
      <c r="I4" s="155" t="s">
        <v>98</v>
      </c>
      <c r="J4" s="186">
        <v>98</v>
      </c>
      <c r="K4" s="186"/>
      <c r="L4" s="187"/>
      <c r="M4" s="87">
        <f>J4*0.1+K4*0.9</f>
        <v>9.8</v>
      </c>
      <c r="N4" s="163">
        <f>(M4*F4+M5*F5)*0.8+L4*0.2</f>
        <v>0</v>
      </c>
    </row>
    <row r="5" s="148" customFormat="1" ht="63" spans="2:14">
      <c r="B5" s="129"/>
      <c r="C5" s="53"/>
      <c r="D5" s="33"/>
      <c r="E5" s="30" t="s">
        <v>99</v>
      </c>
      <c r="F5" s="190"/>
      <c r="G5" s="191">
        <v>100</v>
      </c>
      <c r="H5" s="33"/>
      <c r="I5" s="192" t="s">
        <v>100</v>
      </c>
      <c r="J5" s="187">
        <v>95</v>
      </c>
      <c r="K5" s="187"/>
      <c r="L5" s="193"/>
      <c r="M5" s="87">
        <f t="shared" ref="M4:M10" si="0">J5*0.1+K5*0.9</f>
        <v>9.5</v>
      </c>
      <c r="N5" s="163"/>
    </row>
    <row r="6" s="148" customFormat="1" ht="6" customHeight="1" spans="2:14">
      <c r="B6" s="167"/>
      <c r="C6" s="167"/>
      <c r="D6" s="167"/>
      <c r="E6" s="167"/>
      <c r="F6" s="167"/>
      <c r="G6" s="167"/>
      <c r="H6" s="167"/>
      <c r="I6" s="167"/>
      <c r="J6" s="167"/>
      <c r="K6" s="167"/>
      <c r="L6" s="167"/>
      <c r="M6" s="168"/>
      <c r="N6" s="152"/>
    </row>
    <row r="7" s="148" customFormat="1" ht="78" spans="2:14">
      <c r="B7" s="118" t="s">
        <v>13</v>
      </c>
      <c r="C7" s="38" t="s">
        <v>101</v>
      </c>
      <c r="D7" s="47">
        <v>1</v>
      </c>
      <c r="E7" s="38" t="s">
        <v>102</v>
      </c>
      <c r="F7" s="48"/>
      <c r="G7" s="49">
        <v>100</v>
      </c>
      <c r="H7" s="33" t="s">
        <v>103</v>
      </c>
      <c r="I7" s="162" t="s">
        <v>104</v>
      </c>
      <c r="J7" s="203">
        <v>95</v>
      </c>
      <c r="K7" s="49"/>
      <c r="L7" s="59"/>
      <c r="M7" s="87">
        <f t="shared" si="0"/>
        <v>9.5</v>
      </c>
      <c r="N7" s="163">
        <f>(M7*F7+M8*F8+M9*F9+M10*F10)*0.8+L7*0.2</f>
        <v>0</v>
      </c>
    </row>
    <row r="8" s="148" customFormat="1" ht="40.9" customHeight="1" spans="2:14">
      <c r="B8" s="105"/>
      <c r="C8" s="22" t="s">
        <v>105</v>
      </c>
      <c r="D8" s="33"/>
      <c r="E8" s="58" t="s">
        <v>106</v>
      </c>
      <c r="F8" s="24"/>
      <c r="G8" s="25">
        <v>100</v>
      </c>
      <c r="H8" s="33"/>
      <c r="I8" s="155" t="s">
        <v>107</v>
      </c>
      <c r="J8" s="186">
        <v>98</v>
      </c>
      <c r="K8" s="25"/>
      <c r="L8" s="59"/>
      <c r="M8" s="87">
        <f t="shared" si="0"/>
        <v>9.8</v>
      </c>
      <c r="N8" s="163"/>
    </row>
    <row r="9" s="148" customFormat="1" ht="48" customHeight="1" spans="2:14">
      <c r="B9" s="105"/>
      <c r="C9" s="22"/>
      <c r="D9" s="33"/>
      <c r="E9" s="58" t="s">
        <v>108</v>
      </c>
      <c r="F9" s="24"/>
      <c r="G9" s="25">
        <v>100</v>
      </c>
      <c r="H9" s="33"/>
      <c r="I9" s="155" t="s">
        <v>109</v>
      </c>
      <c r="J9" s="186">
        <v>95</v>
      </c>
      <c r="K9" s="25"/>
      <c r="L9" s="59"/>
      <c r="M9" s="87">
        <f t="shared" si="0"/>
        <v>9.5</v>
      </c>
      <c r="N9" s="163"/>
    </row>
    <row r="10" s="148" customFormat="1" ht="51.6" customHeight="1" spans="2:14">
      <c r="B10" s="129"/>
      <c r="C10" s="53" t="s">
        <v>110</v>
      </c>
      <c r="D10" s="33"/>
      <c r="E10" s="53" t="s">
        <v>111</v>
      </c>
      <c r="F10" s="54"/>
      <c r="G10" s="55">
        <v>100</v>
      </c>
      <c r="H10" s="33"/>
      <c r="I10" s="166" t="s">
        <v>112</v>
      </c>
      <c r="J10" s="187">
        <v>96</v>
      </c>
      <c r="K10" s="55"/>
      <c r="L10" s="59"/>
      <c r="M10" s="87">
        <f t="shared" si="0"/>
        <v>9.6</v>
      </c>
      <c r="N10" s="163"/>
    </row>
    <row r="11" s="148" customFormat="1" ht="6" customHeight="1" spans="2:14">
      <c r="B11" s="167"/>
      <c r="C11" s="167"/>
      <c r="D11" s="167"/>
      <c r="E11" s="167"/>
      <c r="F11" s="167"/>
      <c r="G11" s="167"/>
      <c r="H11" s="167"/>
      <c r="I11" s="167"/>
      <c r="J11" s="167"/>
      <c r="K11" s="167"/>
      <c r="L11" s="167"/>
      <c r="M11" s="168"/>
      <c r="N11" s="152"/>
    </row>
    <row r="12" s="148" customFormat="1" ht="168.6" customHeight="1" spans="2:14">
      <c r="B12" s="118" t="s">
        <v>47</v>
      </c>
      <c r="C12" s="38" t="s">
        <v>113</v>
      </c>
      <c r="D12" s="47">
        <v>1</v>
      </c>
      <c r="E12" s="204" t="s">
        <v>114</v>
      </c>
      <c r="F12" s="48"/>
      <c r="G12" s="169">
        <v>100</v>
      </c>
      <c r="H12" s="170" t="s">
        <v>115</v>
      </c>
      <c r="I12" s="162" t="s">
        <v>116</v>
      </c>
      <c r="J12" s="203">
        <v>98</v>
      </c>
      <c r="K12" s="38"/>
      <c r="L12" s="33"/>
      <c r="M12" s="87">
        <f t="shared" ref="M12:M17" si="1">J12*0.1+K12*0.9</f>
        <v>9.8</v>
      </c>
      <c r="N12" s="163">
        <f>(M12*F12+M13*F13+M14*F14+M15*F15+M16*F16+M17*F17)*0.8+L12*0.2</f>
        <v>0</v>
      </c>
    </row>
    <row r="13" s="148" customFormat="1" ht="192.6" customHeight="1" spans="2:14">
      <c r="B13" s="105"/>
      <c r="C13" s="22" t="s">
        <v>117</v>
      </c>
      <c r="D13" s="33"/>
      <c r="E13" s="22" t="s">
        <v>118</v>
      </c>
      <c r="F13" s="24"/>
      <c r="G13" s="172">
        <v>100</v>
      </c>
      <c r="H13" s="170"/>
      <c r="I13" s="173" t="s">
        <v>119</v>
      </c>
      <c r="J13" s="186">
        <v>95</v>
      </c>
      <c r="K13" s="22"/>
      <c r="L13" s="33"/>
      <c r="M13" s="87">
        <f t="shared" si="1"/>
        <v>9.5</v>
      </c>
      <c r="N13" s="163"/>
    </row>
    <row r="14" s="183" customFormat="1" ht="178" customHeight="1" spans="2:14">
      <c r="B14" s="105"/>
      <c r="C14" s="22" t="s">
        <v>82</v>
      </c>
      <c r="D14" s="33"/>
      <c r="E14" s="22" t="s">
        <v>83</v>
      </c>
      <c r="F14" s="22"/>
      <c r="G14" s="25">
        <v>100</v>
      </c>
      <c r="H14" s="170"/>
      <c r="I14" s="58" t="s">
        <v>84</v>
      </c>
      <c r="J14" s="205">
        <v>95</v>
      </c>
      <c r="K14" s="205"/>
      <c r="L14" s="33"/>
      <c r="M14" s="87">
        <f t="shared" si="1"/>
        <v>9.5</v>
      </c>
      <c r="N14" s="163"/>
    </row>
    <row r="15" s="183" customFormat="1" ht="173" customHeight="1" spans="2:14">
      <c r="B15" s="105"/>
      <c r="C15" s="22" t="s">
        <v>85</v>
      </c>
      <c r="D15" s="33"/>
      <c r="E15" s="22" t="s">
        <v>86</v>
      </c>
      <c r="F15" s="22"/>
      <c r="G15" s="25">
        <v>100</v>
      </c>
      <c r="H15" s="170"/>
      <c r="I15" s="58" t="s">
        <v>87</v>
      </c>
      <c r="J15" s="205">
        <v>95</v>
      </c>
      <c r="K15" s="205"/>
      <c r="L15" s="33"/>
      <c r="M15" s="87">
        <f t="shared" si="1"/>
        <v>9.5</v>
      </c>
      <c r="N15" s="163"/>
    </row>
    <row r="16" s="183" customFormat="1" ht="171" customHeight="1" spans="2:14">
      <c r="B16" s="105"/>
      <c r="C16" s="22" t="s">
        <v>88</v>
      </c>
      <c r="D16" s="33"/>
      <c r="E16" s="22" t="s">
        <v>89</v>
      </c>
      <c r="F16" s="22"/>
      <c r="G16" s="25">
        <v>100</v>
      </c>
      <c r="H16" s="170"/>
      <c r="I16" s="58" t="s">
        <v>90</v>
      </c>
      <c r="J16" s="205">
        <v>95</v>
      </c>
      <c r="K16" s="205"/>
      <c r="L16" s="33"/>
      <c r="M16" s="87">
        <f t="shared" si="1"/>
        <v>9.5</v>
      </c>
      <c r="N16" s="163"/>
    </row>
    <row r="17" s="183" customFormat="1" ht="175" customHeight="1" spans="2:14">
      <c r="B17" s="105"/>
      <c r="C17" s="22" t="s">
        <v>91</v>
      </c>
      <c r="D17" s="38"/>
      <c r="E17" s="22" t="s">
        <v>92</v>
      </c>
      <c r="F17" s="22"/>
      <c r="G17" s="25">
        <v>100</v>
      </c>
      <c r="H17" s="175"/>
      <c r="I17" s="58" t="s">
        <v>93</v>
      </c>
      <c r="J17" s="205">
        <v>95</v>
      </c>
      <c r="K17" s="205"/>
      <c r="L17" s="38"/>
      <c r="M17" s="87">
        <f t="shared" si="1"/>
        <v>9.5</v>
      </c>
      <c r="N17" s="163"/>
    </row>
    <row r="18" s="183" customFormat="1" ht="41.45" customHeight="1" spans="2:14">
      <c r="B18" s="206" t="s">
        <v>15</v>
      </c>
      <c r="C18" s="207"/>
      <c r="D18" s="207"/>
      <c r="E18" s="207"/>
      <c r="F18" s="207"/>
      <c r="G18" s="207"/>
      <c r="H18" s="207"/>
      <c r="I18" s="207"/>
      <c r="J18" s="207"/>
      <c r="K18" s="207"/>
      <c r="L18" s="208"/>
      <c r="M18" s="209">
        <f>N4*0.3+N7*0.4+N12*0.3</f>
        <v>0</v>
      </c>
      <c r="N18" s="198"/>
    </row>
    <row r="19" s="148" customFormat="1" ht="49" customHeight="1" spans="2:14">
      <c r="B19" s="62" t="s">
        <v>57</v>
      </c>
      <c r="C19" s="63"/>
      <c r="D19" s="63"/>
      <c r="E19" s="63"/>
      <c r="F19" s="63"/>
      <c r="G19" s="63"/>
      <c r="H19" s="63"/>
      <c r="I19" s="62" t="s">
        <v>58</v>
      </c>
      <c r="J19" s="63"/>
      <c r="K19" s="63"/>
      <c r="L19" s="63"/>
      <c r="M19" s="96"/>
      <c r="N19" s="152"/>
    </row>
  </sheetData>
  <sheetProtection algorithmName="SHA-512" hashValue="+EHrZApX6oR/rwN1yyK6r8Jo53UdvHUiaxYXkzzv3TMa9lKSXNDYBBbzptLFCqvR81N3j3z/U5WivwjHI2hs+g==" saltValue="SrgRe58aNi2tCgsDOCZDYA==" spinCount="100000" sheet="1" objects="1"/>
  <mergeCells count="22">
    <mergeCell ref="B1:M1"/>
    <mergeCell ref="B2:M2"/>
    <mergeCell ref="B18:L18"/>
    <mergeCell ref="B19:H19"/>
    <mergeCell ref="I19:M19"/>
    <mergeCell ref="B4:B5"/>
    <mergeCell ref="B7:B10"/>
    <mergeCell ref="B12:B17"/>
    <mergeCell ref="C4:C5"/>
    <mergeCell ref="C8:C9"/>
    <mergeCell ref="D4:D5"/>
    <mergeCell ref="D7:D10"/>
    <mergeCell ref="D12:D17"/>
    <mergeCell ref="H4:H5"/>
    <mergeCell ref="H7:H10"/>
    <mergeCell ref="H12:H17"/>
    <mergeCell ref="L4:L5"/>
    <mergeCell ref="L7:L10"/>
    <mergeCell ref="L12:L17"/>
    <mergeCell ref="N4:N5"/>
    <mergeCell ref="N7:N10"/>
    <mergeCell ref="N12:N17"/>
  </mergeCells>
  <printOptions horizontalCentered="1" verticalCentered="1"/>
  <pageMargins left="0.0393700787401575" right="0.0393700787401575" top="0.196850393700787" bottom="0.196850393700787" header="0" footer="0"/>
  <pageSetup paperSize="9" scale="53" fitToWidth="0"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G8"/>
  <sheetViews>
    <sheetView workbookViewId="0">
      <selection activeCell="B1" sqref="B1:G1"/>
    </sheetView>
  </sheetViews>
  <sheetFormatPr defaultColWidth="8.25" defaultRowHeight="16.8" outlineLevelRow="7" outlineLevelCol="6"/>
  <cols>
    <col min="1" max="1" width="4.40178571428571" customWidth="1"/>
    <col min="2" max="2" width="25.4821428571429" customWidth="1"/>
    <col min="3" max="3" width="7.51785714285714" customWidth="1"/>
    <col min="4" max="4" width="46.4732142857143" customWidth="1"/>
    <col min="5" max="6" width="9.53571428571429" customWidth="1"/>
    <col min="7" max="7" width="17.7857142857143" customWidth="1"/>
  </cols>
  <sheetData>
    <row r="1" customFormat="1" ht="38.15" customHeight="1" spans="2:7">
      <c r="B1" s="65" t="s">
        <v>4</v>
      </c>
      <c r="C1" s="65"/>
      <c r="D1" s="65"/>
      <c r="E1" s="65"/>
      <c r="F1" s="65"/>
      <c r="G1" s="65"/>
    </row>
    <row r="2" customFormat="1" ht="25.25" customHeight="1" spans="2:7">
      <c r="B2" s="66" t="s">
        <v>5</v>
      </c>
      <c r="C2" s="66"/>
      <c r="D2" s="66"/>
      <c r="E2" s="66"/>
      <c r="F2" s="66"/>
      <c r="G2" s="66"/>
    </row>
    <row r="3" customFormat="1" ht="27.95" customHeight="1" spans="2:7">
      <c r="B3" s="67" t="s">
        <v>6</v>
      </c>
      <c r="C3" s="67" t="s">
        <v>7</v>
      </c>
      <c r="D3" s="68" t="s">
        <v>8</v>
      </c>
      <c r="E3" s="68" t="s">
        <v>9</v>
      </c>
      <c r="F3" s="68" t="s">
        <v>10</v>
      </c>
      <c r="G3" s="68" t="s">
        <v>11</v>
      </c>
    </row>
    <row r="4" customFormat="1" ht="68.25" customHeight="1" spans="2:7">
      <c r="B4" s="69" t="s">
        <v>12</v>
      </c>
      <c r="C4" s="70">
        <v>0.3</v>
      </c>
      <c r="D4" s="66">
        <f>测试岗明细!H4</f>
        <v>0</v>
      </c>
      <c r="E4" s="66"/>
      <c r="F4" s="66">
        <f>测试岗明细!N4</f>
        <v>0</v>
      </c>
      <c r="G4" s="67">
        <f t="shared" ref="G4:G6" si="0">F4*C4</f>
        <v>0</v>
      </c>
    </row>
    <row r="5" customFormat="1" ht="61.25" customHeight="1" spans="2:7">
      <c r="B5" s="69" t="s">
        <v>13</v>
      </c>
      <c r="C5" s="70">
        <v>0.4</v>
      </c>
      <c r="D5" s="66">
        <f>测试岗明细!H7</f>
        <v>0</v>
      </c>
      <c r="E5" s="66"/>
      <c r="F5" s="66">
        <f>测试岗明细!N7</f>
        <v>0</v>
      </c>
      <c r="G5" s="67">
        <f t="shared" si="0"/>
        <v>0</v>
      </c>
    </row>
    <row r="6" customFormat="1" ht="54.8" customHeight="1" spans="2:7">
      <c r="B6" s="71" t="s">
        <v>14</v>
      </c>
      <c r="C6" s="70">
        <v>0.3</v>
      </c>
      <c r="D6" s="72">
        <f>测试岗明细!H12</f>
        <v>0</v>
      </c>
      <c r="E6" s="72"/>
      <c r="F6" s="66">
        <f>测试岗明细!N12</f>
        <v>0</v>
      </c>
      <c r="G6" s="67">
        <f t="shared" si="0"/>
        <v>0</v>
      </c>
    </row>
    <row r="7" customFormat="1" ht="22.05" customHeight="1" spans="2:7">
      <c r="B7" s="67" t="s">
        <v>15</v>
      </c>
      <c r="C7" s="67"/>
      <c r="D7" s="67"/>
      <c r="E7" s="67"/>
      <c r="F7" s="67"/>
      <c r="G7" s="67">
        <f>SUM(G4:G6)</f>
        <v>0</v>
      </c>
    </row>
    <row r="8" customFormat="1" ht="42.45" customHeight="1" spans="2:7">
      <c r="B8" s="73" t="s">
        <v>16</v>
      </c>
      <c r="C8" s="74"/>
      <c r="D8" s="73" t="s">
        <v>17</v>
      </c>
      <c r="E8" s="75"/>
      <c r="F8" s="75"/>
      <c r="G8" s="74"/>
    </row>
  </sheetData>
  <mergeCells count="5">
    <mergeCell ref="B1:G1"/>
    <mergeCell ref="B2:G2"/>
    <mergeCell ref="B7:F7"/>
    <mergeCell ref="B8:C8"/>
    <mergeCell ref="D8:G8"/>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N19"/>
  <sheetViews>
    <sheetView zoomScale="80" zoomScaleNormal="80" workbookViewId="0">
      <pane xSplit="2" ySplit="3" topLeftCell="C12" activePane="bottomRight" state="frozen"/>
      <selection/>
      <selection pane="topRight"/>
      <selection pane="bottomLeft"/>
      <selection pane="bottomRight" activeCell="H12" sqref="H12:H17"/>
    </sheetView>
  </sheetViews>
  <sheetFormatPr defaultColWidth="8.25" defaultRowHeight="15.6"/>
  <cols>
    <col min="1" max="1" width="1.22321428571429" style="148" customWidth="1"/>
    <col min="2" max="2" width="9" style="148" customWidth="1"/>
    <col min="3" max="3" width="11.25" style="150" customWidth="1"/>
    <col min="4" max="4" width="8.75" style="148" customWidth="1"/>
    <col min="5" max="5" width="21.0803571428571" style="185" customWidth="1"/>
    <col min="6" max="6" width="8.66964285714286" style="148" customWidth="1"/>
    <col min="7" max="7" width="10.6875" style="148" customWidth="1"/>
    <col min="8" max="8" width="30.9196428571429" style="150" customWidth="1"/>
    <col min="9" max="9" width="73.25" style="148" customWidth="1"/>
    <col min="10" max="10" width="8.58035714285714" style="148" customWidth="1"/>
    <col min="11" max="12" width="10.2678571428571" style="148" customWidth="1"/>
    <col min="13" max="13" width="13.75" style="152" customWidth="1"/>
    <col min="14" max="14" width="8.25" style="152"/>
    <col min="15" max="16384" width="8.25" style="148"/>
  </cols>
  <sheetData>
    <row r="1" s="148" customFormat="1" ht="31.05" customHeight="1" spans="2:14">
      <c r="B1" s="101" t="s">
        <v>4</v>
      </c>
      <c r="C1" s="101"/>
      <c r="D1" s="101"/>
      <c r="E1" s="101"/>
      <c r="F1" s="102"/>
      <c r="G1" s="102"/>
      <c r="H1" s="101"/>
      <c r="I1" s="102"/>
      <c r="J1" s="102"/>
      <c r="K1" s="102"/>
      <c r="L1" s="102"/>
      <c r="M1" s="103"/>
      <c r="N1" s="152"/>
    </row>
    <row r="2" s="148" customFormat="1" ht="21" customHeight="1" spans="2:14">
      <c r="B2" s="13" t="s">
        <v>18</v>
      </c>
      <c r="C2" s="104"/>
      <c r="D2" s="104"/>
      <c r="E2" s="104"/>
      <c r="F2" s="11"/>
      <c r="G2" s="11"/>
      <c r="H2" s="13"/>
      <c r="I2" s="11"/>
      <c r="J2" s="11"/>
      <c r="K2" s="11"/>
      <c r="L2" s="11"/>
      <c r="M2" s="79"/>
      <c r="N2" s="152"/>
    </row>
    <row r="3" s="148" customFormat="1" ht="44" customHeight="1" spans="2:14">
      <c r="B3" s="81" t="s">
        <v>6</v>
      </c>
      <c r="C3" s="81" t="s">
        <v>20</v>
      </c>
      <c r="D3" s="81" t="s">
        <v>19</v>
      </c>
      <c r="E3" s="81" t="s">
        <v>21</v>
      </c>
      <c r="F3" s="82" t="s">
        <v>7</v>
      </c>
      <c r="G3" s="82" t="s">
        <v>22</v>
      </c>
      <c r="H3" s="83" t="s">
        <v>8</v>
      </c>
      <c r="I3" s="80" t="s">
        <v>23</v>
      </c>
      <c r="J3" s="84" t="s">
        <v>24</v>
      </c>
      <c r="K3" s="85" t="s">
        <v>25</v>
      </c>
      <c r="L3" s="85" t="s">
        <v>59</v>
      </c>
      <c r="M3" s="86" t="s">
        <v>27</v>
      </c>
      <c r="N3" s="86" t="s">
        <v>15</v>
      </c>
    </row>
    <row r="4" s="148" customFormat="1" ht="178" customHeight="1" spans="2:14">
      <c r="B4" s="129" t="s">
        <v>28</v>
      </c>
      <c r="C4" s="53" t="s">
        <v>95</v>
      </c>
      <c r="D4" s="54">
        <v>1</v>
      </c>
      <c r="E4" s="22" t="s">
        <v>96</v>
      </c>
      <c r="F4" s="24"/>
      <c r="G4" s="25">
        <v>100</v>
      </c>
      <c r="H4" s="53"/>
      <c r="I4" s="155" t="s">
        <v>98</v>
      </c>
      <c r="J4" s="25"/>
      <c r="K4" s="186"/>
      <c r="L4" s="187"/>
      <c r="M4" s="188">
        <f>J4*0.1+K4*0.9</f>
        <v>0</v>
      </c>
      <c r="N4" s="163">
        <f>(M4*F4+M5*F5)*0.8+L4*0.2</f>
        <v>0</v>
      </c>
    </row>
    <row r="5" s="148" customFormat="1" ht="106" customHeight="1" spans="2:14">
      <c r="B5" s="189"/>
      <c r="C5" s="33"/>
      <c r="D5" s="59"/>
      <c r="E5" s="30" t="s">
        <v>99</v>
      </c>
      <c r="F5" s="190"/>
      <c r="G5" s="191">
        <v>100</v>
      </c>
      <c r="H5" s="33"/>
      <c r="I5" s="192" t="s">
        <v>100</v>
      </c>
      <c r="J5" s="55"/>
      <c r="K5" s="187"/>
      <c r="L5" s="193"/>
      <c r="M5" s="188">
        <f>J5*0.1+K5*0.9</f>
        <v>0</v>
      </c>
      <c r="N5" s="163"/>
    </row>
    <row r="6" s="148" customFormat="1" ht="8" customHeight="1" spans="2:14">
      <c r="B6" s="167"/>
      <c r="C6" s="167"/>
      <c r="D6" s="167"/>
      <c r="E6" s="167"/>
      <c r="F6" s="167"/>
      <c r="G6" s="167"/>
      <c r="H6" s="167"/>
      <c r="I6" s="167"/>
      <c r="J6" s="167"/>
      <c r="K6" s="167"/>
      <c r="L6" s="167"/>
      <c r="M6" s="168"/>
      <c r="N6" s="152"/>
    </row>
    <row r="7" s="148" customFormat="1" ht="141" customHeight="1" spans="2:14">
      <c r="B7" s="118" t="s">
        <v>13</v>
      </c>
      <c r="C7" s="38" t="s">
        <v>101</v>
      </c>
      <c r="D7" s="194">
        <v>1</v>
      </c>
      <c r="E7" s="38" t="s">
        <v>102</v>
      </c>
      <c r="F7" s="48"/>
      <c r="G7" s="49">
        <v>100</v>
      </c>
      <c r="H7" s="33"/>
      <c r="I7" s="162" t="s">
        <v>104</v>
      </c>
      <c r="J7" s="49"/>
      <c r="K7" s="49"/>
      <c r="L7" s="59"/>
      <c r="M7" s="188">
        <f>J7*0.1+K7*0.9</f>
        <v>0</v>
      </c>
      <c r="N7" s="163">
        <f>(M7*F7+M8*F8+M9*F9+M10*F10)*0.8+L7*0.2</f>
        <v>0</v>
      </c>
    </row>
    <row r="8" s="148" customFormat="1" ht="83" customHeight="1" spans="2:14">
      <c r="B8" s="105"/>
      <c r="C8" s="22" t="s">
        <v>110</v>
      </c>
      <c r="D8" s="59"/>
      <c r="E8" s="22" t="s">
        <v>111</v>
      </c>
      <c r="F8" s="24"/>
      <c r="G8" s="25">
        <v>100</v>
      </c>
      <c r="H8" s="33"/>
      <c r="I8" s="155" t="s">
        <v>112</v>
      </c>
      <c r="J8" s="25"/>
      <c r="K8" s="25"/>
      <c r="L8" s="59"/>
      <c r="M8" s="188">
        <f t="shared" ref="M4:M10" si="0">J8*0.1+K8*0.9</f>
        <v>0</v>
      </c>
      <c r="N8" s="163"/>
    </row>
    <row r="9" s="148" customFormat="1" ht="125" customHeight="1" spans="2:14">
      <c r="B9" s="105"/>
      <c r="C9" s="22" t="s">
        <v>120</v>
      </c>
      <c r="D9" s="59"/>
      <c r="E9" s="22" t="s">
        <v>121</v>
      </c>
      <c r="F9" s="24"/>
      <c r="G9" s="25">
        <v>100</v>
      </c>
      <c r="H9" s="33"/>
      <c r="I9" s="155" t="s">
        <v>122</v>
      </c>
      <c r="J9" s="25"/>
      <c r="K9" s="25"/>
      <c r="L9" s="59"/>
      <c r="M9" s="188">
        <f t="shared" si="0"/>
        <v>0</v>
      </c>
      <c r="N9" s="163"/>
    </row>
    <row r="10" s="148" customFormat="1" ht="73" customHeight="1" spans="2:14">
      <c r="B10" s="129"/>
      <c r="C10" s="53"/>
      <c r="D10" s="59"/>
      <c r="E10" s="53" t="s">
        <v>123</v>
      </c>
      <c r="F10" s="54"/>
      <c r="G10" s="55">
        <v>100</v>
      </c>
      <c r="H10" s="33"/>
      <c r="I10" s="166" t="s">
        <v>109</v>
      </c>
      <c r="J10" s="55"/>
      <c r="K10" s="55"/>
      <c r="L10" s="59"/>
      <c r="M10" s="188">
        <f t="shared" si="0"/>
        <v>0</v>
      </c>
      <c r="N10" s="163"/>
    </row>
    <row r="11" s="148" customFormat="1" ht="6" customHeight="1" spans="2:14">
      <c r="B11" s="167"/>
      <c r="C11" s="167"/>
      <c r="D11" s="167"/>
      <c r="E11" s="167"/>
      <c r="F11" s="167"/>
      <c r="G11" s="167"/>
      <c r="H11" s="167"/>
      <c r="I11" s="167"/>
      <c r="J11" s="167"/>
      <c r="K11" s="167"/>
      <c r="L11" s="167"/>
      <c r="M11" s="168"/>
      <c r="N11" s="152"/>
    </row>
    <row r="12" s="148" customFormat="1" ht="240" customHeight="1" spans="2:14">
      <c r="B12" s="105" t="s">
        <v>47</v>
      </c>
      <c r="C12" s="22" t="s">
        <v>113</v>
      </c>
      <c r="D12" s="24">
        <v>1</v>
      </c>
      <c r="E12" s="195" t="s">
        <v>114</v>
      </c>
      <c r="F12" s="24"/>
      <c r="G12" s="172">
        <v>100</v>
      </c>
      <c r="H12" s="196"/>
      <c r="I12" s="155" t="s">
        <v>116</v>
      </c>
      <c r="J12" s="25"/>
      <c r="K12" s="22"/>
      <c r="L12" s="22"/>
      <c r="M12" s="188">
        <f>J12*0.1+K12*0.9</f>
        <v>0</v>
      </c>
      <c r="N12" s="163">
        <f>(M12*F12+M13*F13+M14*F14+M15*F15+M16*F16+M17*F17)*0.8+L12*0.2</f>
        <v>0</v>
      </c>
    </row>
    <row r="13" s="148" customFormat="1" ht="224" customHeight="1" spans="2:14">
      <c r="B13" s="105"/>
      <c r="C13" s="22" t="s">
        <v>117</v>
      </c>
      <c r="D13" s="25"/>
      <c r="E13" s="22" t="s">
        <v>118</v>
      </c>
      <c r="F13" s="24"/>
      <c r="G13" s="172">
        <v>100</v>
      </c>
      <c r="H13" s="196"/>
      <c r="I13" s="173" t="s">
        <v>119</v>
      </c>
      <c r="J13" s="25"/>
      <c r="K13" s="22"/>
      <c r="L13" s="22"/>
      <c r="M13" s="188">
        <f t="shared" ref="M12:M17" si="1">J13*0.1+K13*0.9</f>
        <v>0</v>
      </c>
      <c r="N13" s="163"/>
    </row>
    <row r="14" s="183" customFormat="1" ht="213" customHeight="1" spans="2:14">
      <c r="B14" s="105"/>
      <c r="C14" s="22" t="s">
        <v>82</v>
      </c>
      <c r="D14" s="25"/>
      <c r="E14" s="22" t="s">
        <v>83</v>
      </c>
      <c r="F14" s="22"/>
      <c r="G14" s="25">
        <v>100</v>
      </c>
      <c r="H14" s="196"/>
      <c r="I14" s="58" t="s">
        <v>84</v>
      </c>
      <c r="J14" s="197"/>
      <c r="K14" s="197"/>
      <c r="L14" s="22"/>
      <c r="M14" s="188">
        <f t="shared" si="1"/>
        <v>0</v>
      </c>
      <c r="N14" s="163"/>
    </row>
    <row r="15" s="183" customFormat="1" ht="194" customHeight="1" spans="2:14">
      <c r="B15" s="105"/>
      <c r="C15" s="22" t="s">
        <v>85</v>
      </c>
      <c r="D15" s="25"/>
      <c r="E15" s="22" t="s">
        <v>86</v>
      </c>
      <c r="F15" s="22"/>
      <c r="G15" s="25">
        <v>100</v>
      </c>
      <c r="H15" s="196"/>
      <c r="I15" s="58" t="s">
        <v>87</v>
      </c>
      <c r="J15" s="197"/>
      <c r="K15" s="197"/>
      <c r="L15" s="22"/>
      <c r="M15" s="188">
        <f t="shared" si="1"/>
        <v>0</v>
      </c>
      <c r="N15" s="163"/>
    </row>
    <row r="16" s="183" customFormat="1" ht="200" customHeight="1" spans="2:14">
      <c r="B16" s="105"/>
      <c r="C16" s="22" t="s">
        <v>88</v>
      </c>
      <c r="D16" s="25"/>
      <c r="E16" s="22" t="s">
        <v>89</v>
      </c>
      <c r="F16" s="22"/>
      <c r="G16" s="25">
        <v>100</v>
      </c>
      <c r="H16" s="196"/>
      <c r="I16" s="58" t="s">
        <v>90</v>
      </c>
      <c r="J16" s="197"/>
      <c r="K16" s="197"/>
      <c r="L16" s="22"/>
      <c r="M16" s="188">
        <f t="shared" si="1"/>
        <v>0</v>
      </c>
      <c r="N16" s="163"/>
    </row>
    <row r="17" s="183" customFormat="1" ht="201" customHeight="1" spans="2:14">
      <c r="B17" s="105"/>
      <c r="C17" s="22" t="s">
        <v>91</v>
      </c>
      <c r="D17" s="25"/>
      <c r="E17" s="22" t="s">
        <v>92</v>
      </c>
      <c r="F17" s="22"/>
      <c r="G17" s="25">
        <v>100</v>
      </c>
      <c r="H17" s="196"/>
      <c r="I17" s="58" t="s">
        <v>93</v>
      </c>
      <c r="J17" s="197"/>
      <c r="K17" s="197"/>
      <c r="L17" s="22"/>
      <c r="M17" s="188">
        <f t="shared" si="1"/>
        <v>0</v>
      </c>
      <c r="N17" s="163"/>
    </row>
    <row r="18" s="183" customFormat="1" ht="39.6" customHeight="1" spans="2:14">
      <c r="B18" s="197" t="s">
        <v>15</v>
      </c>
      <c r="C18" s="197"/>
      <c r="D18" s="197"/>
      <c r="E18" s="197"/>
      <c r="F18" s="197"/>
      <c r="G18" s="197"/>
      <c r="H18" s="197"/>
      <c r="I18" s="197"/>
      <c r="J18" s="197"/>
      <c r="K18" s="197"/>
      <c r="L18" s="197"/>
      <c r="M18" s="181">
        <f>N4*0.3+N7*0.4+N12*0.3</f>
        <v>0</v>
      </c>
      <c r="N18" s="198"/>
    </row>
    <row r="19" s="184" customFormat="1" ht="65" customHeight="1" spans="2:14">
      <c r="B19" s="199" t="s">
        <v>124</v>
      </c>
      <c r="C19" s="199"/>
      <c r="D19" s="199"/>
      <c r="E19" s="199"/>
      <c r="F19" s="199"/>
      <c r="G19" s="199"/>
      <c r="H19" s="199"/>
      <c r="I19" s="200" t="s">
        <v>125</v>
      </c>
      <c r="J19" s="200"/>
      <c r="K19" s="200"/>
      <c r="L19" s="200"/>
      <c r="M19" s="201"/>
      <c r="N19" s="202"/>
    </row>
  </sheetData>
  <sheetProtection algorithmName="SHA-512" hashValue="T7Ksa9D7jmU33ewBHEcXvvZGxwqtggn8weC94DT0keP1sqB0Knd0I7lE615tmlaTJzwFmzSWaIRpbw/jKFK/uQ==" saltValue="Yhbr8usIiWIL/rMfl6WkEQ==" spinCount="100000" sheet="1" objects="1"/>
  <mergeCells count="22">
    <mergeCell ref="B1:M1"/>
    <mergeCell ref="B2:M2"/>
    <mergeCell ref="B18:L18"/>
    <mergeCell ref="B19:H19"/>
    <mergeCell ref="I19:M19"/>
    <mergeCell ref="B4:B5"/>
    <mergeCell ref="B7:B10"/>
    <mergeCell ref="B12:B17"/>
    <mergeCell ref="C4:C5"/>
    <mergeCell ref="C9:C10"/>
    <mergeCell ref="D4:D5"/>
    <mergeCell ref="D7:D10"/>
    <mergeCell ref="D12:D17"/>
    <mergeCell ref="H4:H5"/>
    <mergeCell ref="H7:H10"/>
    <mergeCell ref="H12:H17"/>
    <mergeCell ref="L4:L5"/>
    <mergeCell ref="L7:L10"/>
    <mergeCell ref="L12:L17"/>
    <mergeCell ref="N4:N5"/>
    <mergeCell ref="N7:N10"/>
    <mergeCell ref="N12:N17"/>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G8"/>
  <sheetViews>
    <sheetView workbookViewId="0">
      <selection activeCell="B1" sqref="B1:G1"/>
    </sheetView>
  </sheetViews>
  <sheetFormatPr defaultColWidth="8.25" defaultRowHeight="16.8" outlineLevelRow="7" outlineLevelCol="6"/>
  <cols>
    <col min="1" max="1" width="4.40178571428571" customWidth="1"/>
    <col min="2" max="2" width="25.4821428571429" customWidth="1"/>
    <col min="3" max="3" width="7.51785714285714" customWidth="1"/>
    <col min="4" max="4" width="46.4732142857143" customWidth="1"/>
    <col min="5" max="6" width="9.53571428571429" customWidth="1"/>
    <col min="7" max="7" width="17.7857142857143" customWidth="1"/>
  </cols>
  <sheetData>
    <row r="1" customFormat="1" ht="38.15" customHeight="1" spans="2:7">
      <c r="B1" s="65" t="s">
        <v>4</v>
      </c>
      <c r="C1" s="65"/>
      <c r="D1" s="65"/>
      <c r="E1" s="65"/>
      <c r="F1" s="65"/>
      <c r="G1" s="65"/>
    </row>
    <row r="2" customFormat="1" ht="25.25" customHeight="1" spans="2:7">
      <c r="B2" s="66" t="s">
        <v>5</v>
      </c>
      <c r="C2" s="66"/>
      <c r="D2" s="66"/>
      <c r="E2" s="66"/>
      <c r="F2" s="66"/>
      <c r="G2" s="66"/>
    </row>
    <row r="3" customFormat="1" ht="27.95" customHeight="1" spans="2:7">
      <c r="B3" s="67" t="s">
        <v>6</v>
      </c>
      <c r="C3" s="67" t="s">
        <v>7</v>
      </c>
      <c r="D3" s="68" t="s">
        <v>8</v>
      </c>
      <c r="E3" s="68" t="s">
        <v>9</v>
      </c>
      <c r="F3" s="68" t="s">
        <v>10</v>
      </c>
      <c r="G3" s="68" t="s">
        <v>11</v>
      </c>
    </row>
    <row r="4" customFormat="1" ht="68.25" customHeight="1" spans="2:7">
      <c r="B4" s="69" t="s">
        <v>12</v>
      </c>
      <c r="C4" s="70">
        <v>0.3</v>
      </c>
      <c r="D4" s="66">
        <f>安全运维岗明细!H4</f>
        <v>0</v>
      </c>
      <c r="E4" s="66"/>
      <c r="F4" s="66">
        <f>安全运维岗明细!N4</f>
        <v>0</v>
      </c>
      <c r="G4" s="67">
        <f t="shared" ref="G4:G6" si="0">F4*C4</f>
        <v>0</v>
      </c>
    </row>
    <row r="5" customFormat="1" ht="61.25" customHeight="1" spans="2:7">
      <c r="B5" s="69" t="s">
        <v>13</v>
      </c>
      <c r="C5" s="70">
        <v>0.4</v>
      </c>
      <c r="D5" s="66">
        <f>安全运维岗明细!H6</f>
        <v>0</v>
      </c>
      <c r="E5" s="66"/>
      <c r="F5" s="66">
        <f>安全运维岗明细!N6</f>
        <v>0</v>
      </c>
      <c r="G5" s="67">
        <f t="shared" si="0"/>
        <v>0</v>
      </c>
    </row>
    <row r="6" customFormat="1" ht="54.8" customHeight="1" spans="2:7">
      <c r="B6" s="71" t="s">
        <v>14</v>
      </c>
      <c r="C6" s="70">
        <v>0.3</v>
      </c>
      <c r="D6" s="72">
        <f>安全运维岗明细!H13</f>
        <v>0</v>
      </c>
      <c r="E6" s="72"/>
      <c r="F6" s="66">
        <f>安全运维岗明细!N13</f>
        <v>0</v>
      </c>
      <c r="G6" s="67">
        <f t="shared" si="0"/>
        <v>0</v>
      </c>
    </row>
    <row r="7" customFormat="1" ht="22.05" customHeight="1" spans="2:7">
      <c r="B7" s="67" t="s">
        <v>15</v>
      </c>
      <c r="C7" s="67"/>
      <c r="D7" s="67"/>
      <c r="E7" s="67"/>
      <c r="F7" s="67"/>
      <c r="G7" s="67">
        <f>SUM(G4:G6)</f>
        <v>0</v>
      </c>
    </row>
    <row r="8" customFormat="1" ht="42.45" customHeight="1" spans="2:7">
      <c r="B8" s="73" t="s">
        <v>16</v>
      </c>
      <c r="C8" s="74"/>
      <c r="D8" s="73" t="s">
        <v>17</v>
      </c>
      <c r="E8" s="75"/>
      <c r="F8" s="75"/>
      <c r="G8" s="74"/>
    </row>
  </sheetData>
  <mergeCells count="5">
    <mergeCell ref="B1:G1"/>
    <mergeCell ref="B2:G2"/>
    <mergeCell ref="B7:F7"/>
    <mergeCell ref="B8:C8"/>
    <mergeCell ref="D8:G8"/>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N20"/>
  <sheetViews>
    <sheetView workbookViewId="0">
      <pane xSplit="2" ySplit="3" topLeftCell="C4" activePane="bottomRight" state="frozen"/>
      <selection/>
      <selection pane="topRight"/>
      <selection pane="bottomLeft"/>
      <selection pane="bottomRight" activeCell="H4" sqref="H4"/>
    </sheetView>
  </sheetViews>
  <sheetFormatPr defaultColWidth="8.25" defaultRowHeight="15.6"/>
  <cols>
    <col min="1" max="1" width="1.22321428571429" style="148" customWidth="1"/>
    <col min="2" max="2" width="9.58035714285714" style="148" customWidth="1"/>
    <col min="3" max="3" width="12.8303571428571" style="150" customWidth="1"/>
    <col min="4" max="4" width="9.75" style="151" customWidth="1"/>
    <col min="5" max="5" width="32.9196428571429" style="151" customWidth="1"/>
    <col min="6" max="6" width="8.75" style="148" customWidth="1"/>
    <col min="7" max="7" width="9.26785714285714" style="148" customWidth="1"/>
    <col min="8" max="8" width="24.0803571428571" style="150" customWidth="1"/>
    <col min="9" max="9" width="56.25" style="148" customWidth="1"/>
    <col min="10" max="10" width="9.66964285714286" style="148" customWidth="1"/>
    <col min="11" max="12" width="9.47321428571429" style="148" customWidth="1"/>
    <col min="13" max="13" width="14.8303571428571" style="152" customWidth="1"/>
    <col min="14" max="14" width="8.25" style="152"/>
    <col min="15" max="16384" width="8.25" style="148"/>
  </cols>
  <sheetData>
    <row r="1" s="148" customFormat="1" ht="31.35" customHeight="1" spans="2:14">
      <c r="B1" s="101" t="s">
        <v>4</v>
      </c>
      <c r="C1" s="101"/>
      <c r="D1" s="101"/>
      <c r="E1" s="101"/>
      <c r="F1" s="102"/>
      <c r="G1" s="102"/>
      <c r="H1" s="101"/>
      <c r="I1" s="102"/>
      <c r="J1" s="102"/>
      <c r="K1" s="102"/>
      <c r="L1" s="102"/>
      <c r="M1" s="103"/>
      <c r="N1" s="152"/>
    </row>
    <row r="2" s="148" customFormat="1" ht="21" customHeight="1" spans="2:14">
      <c r="B2" s="13" t="s">
        <v>18</v>
      </c>
      <c r="C2" s="104"/>
      <c r="D2" s="104"/>
      <c r="E2" s="104"/>
      <c r="F2" s="11"/>
      <c r="G2" s="11"/>
      <c r="H2" s="13"/>
      <c r="I2" s="11"/>
      <c r="J2" s="11"/>
      <c r="K2" s="11"/>
      <c r="L2" s="11"/>
      <c r="M2" s="79"/>
      <c r="N2" s="152"/>
    </row>
    <row r="3" s="148" customFormat="1" ht="47" spans="2:14">
      <c r="B3" s="81" t="s">
        <v>6</v>
      </c>
      <c r="C3" s="81" t="s">
        <v>20</v>
      </c>
      <c r="D3" s="81" t="s">
        <v>19</v>
      </c>
      <c r="E3" s="81" t="s">
        <v>21</v>
      </c>
      <c r="F3" s="82" t="s">
        <v>7</v>
      </c>
      <c r="G3" s="82" t="s">
        <v>22</v>
      </c>
      <c r="H3" s="83" t="s">
        <v>8</v>
      </c>
      <c r="I3" s="80" t="s">
        <v>23</v>
      </c>
      <c r="J3" s="84" t="s">
        <v>24</v>
      </c>
      <c r="K3" s="85" t="s">
        <v>25</v>
      </c>
      <c r="L3" s="85" t="s">
        <v>59</v>
      </c>
      <c r="M3" s="86" t="s">
        <v>27</v>
      </c>
      <c r="N3" s="86" t="s">
        <v>15</v>
      </c>
    </row>
    <row r="4" s="148" customFormat="1" ht="143" customHeight="1" spans="2:14">
      <c r="B4" s="105" t="s">
        <v>28</v>
      </c>
      <c r="C4" s="153" t="s">
        <v>95</v>
      </c>
      <c r="D4" s="154">
        <v>1</v>
      </c>
      <c r="E4" s="22" t="s">
        <v>126</v>
      </c>
      <c r="F4" s="24"/>
      <c r="G4" s="25">
        <v>100</v>
      </c>
      <c r="H4" s="22"/>
      <c r="I4" s="155" t="s">
        <v>98</v>
      </c>
      <c r="J4" s="29"/>
      <c r="K4" s="29"/>
      <c r="L4" s="29"/>
      <c r="M4" s="114">
        <f>J4*0.1+K4*0.9</f>
        <v>0</v>
      </c>
      <c r="N4" s="156">
        <f>(M4*F4)*0.8+L4*0.2</f>
        <v>0</v>
      </c>
    </row>
    <row r="5" s="148" customFormat="1" ht="8" customHeight="1" spans="2:14">
      <c r="B5" s="157"/>
      <c r="C5" s="158"/>
      <c r="D5" s="158"/>
      <c r="E5" s="158"/>
      <c r="F5" s="158"/>
      <c r="G5" s="158"/>
      <c r="H5" s="158"/>
      <c r="I5" s="158"/>
      <c r="J5" s="158"/>
      <c r="K5" s="158"/>
      <c r="L5" s="158"/>
      <c r="M5" s="159"/>
      <c r="N5" s="152"/>
    </row>
    <row r="6" s="148" customFormat="1" ht="63" spans="2:14">
      <c r="B6" s="118" t="s">
        <v>13</v>
      </c>
      <c r="C6" s="160" t="s">
        <v>127</v>
      </c>
      <c r="D6" s="161">
        <v>1</v>
      </c>
      <c r="E6" s="38" t="s">
        <v>128</v>
      </c>
      <c r="F6" s="48"/>
      <c r="G6" s="49">
        <v>100</v>
      </c>
      <c r="H6" s="33"/>
      <c r="I6" s="162" t="s">
        <v>129</v>
      </c>
      <c r="J6" s="49"/>
      <c r="K6" s="49"/>
      <c r="L6" s="59"/>
      <c r="M6" s="114">
        <f t="shared" ref="M4:M11" si="0">J6*0.1+K6*0.9</f>
        <v>0</v>
      </c>
      <c r="N6" s="163">
        <f>(M6*F6+M7*F7+M8*F8+M9*F9+M10*F10+M11*F11)*0.8+L6*0.2</f>
        <v>0</v>
      </c>
    </row>
    <row r="7" s="148" customFormat="1" ht="36.6" customHeight="1" spans="2:14">
      <c r="B7" s="105"/>
      <c r="C7" s="160"/>
      <c r="D7" s="160"/>
      <c r="E7" s="22" t="s">
        <v>130</v>
      </c>
      <c r="F7" s="24"/>
      <c r="G7" s="25">
        <v>100</v>
      </c>
      <c r="H7" s="33"/>
      <c r="I7" s="155" t="s">
        <v>109</v>
      </c>
      <c r="J7" s="25"/>
      <c r="K7" s="25"/>
      <c r="L7" s="59"/>
      <c r="M7" s="114">
        <f t="shared" si="0"/>
        <v>0</v>
      </c>
      <c r="N7" s="163"/>
    </row>
    <row r="8" s="148" customFormat="1" ht="36.6" customHeight="1" spans="2:14">
      <c r="B8" s="105"/>
      <c r="C8" s="164"/>
      <c r="D8" s="160"/>
      <c r="E8" s="22" t="s">
        <v>131</v>
      </c>
      <c r="F8" s="24"/>
      <c r="G8" s="25">
        <v>100</v>
      </c>
      <c r="H8" s="33"/>
      <c r="I8" s="155" t="s">
        <v>109</v>
      </c>
      <c r="J8" s="25"/>
      <c r="K8" s="25"/>
      <c r="L8" s="59"/>
      <c r="M8" s="114">
        <f t="shared" si="0"/>
        <v>0</v>
      </c>
      <c r="N8" s="163"/>
    </row>
    <row r="9" s="148" customFormat="1" ht="53.4" customHeight="1" spans="2:14">
      <c r="B9" s="105"/>
      <c r="C9" s="165" t="s">
        <v>132</v>
      </c>
      <c r="D9" s="160"/>
      <c r="E9" s="22" t="s">
        <v>133</v>
      </c>
      <c r="F9" s="24"/>
      <c r="G9" s="25">
        <v>100</v>
      </c>
      <c r="H9" s="33"/>
      <c r="I9" s="155" t="s">
        <v>134</v>
      </c>
      <c r="J9" s="25"/>
      <c r="K9" s="25"/>
      <c r="L9" s="59"/>
      <c r="M9" s="114">
        <f t="shared" si="0"/>
        <v>0</v>
      </c>
      <c r="N9" s="163"/>
    </row>
    <row r="10" s="148" customFormat="1" ht="16" spans="2:14">
      <c r="B10" s="105"/>
      <c r="C10" s="153" t="s">
        <v>135</v>
      </c>
      <c r="D10" s="160"/>
      <c r="E10" s="22" t="s">
        <v>136</v>
      </c>
      <c r="F10" s="24"/>
      <c r="G10" s="25">
        <v>100</v>
      </c>
      <c r="H10" s="33"/>
      <c r="I10" s="155" t="s">
        <v>109</v>
      </c>
      <c r="J10" s="25"/>
      <c r="K10" s="25"/>
      <c r="L10" s="59"/>
      <c r="M10" s="114">
        <f t="shared" si="0"/>
        <v>0</v>
      </c>
      <c r="N10" s="163"/>
    </row>
    <row r="11" s="148" customFormat="1" ht="16" spans="2:14">
      <c r="B11" s="129"/>
      <c r="C11" s="153" t="s">
        <v>110</v>
      </c>
      <c r="D11" s="160"/>
      <c r="E11" s="55" t="s">
        <v>111</v>
      </c>
      <c r="F11" s="54"/>
      <c r="G11" s="55">
        <v>100</v>
      </c>
      <c r="H11" s="33"/>
      <c r="I11" s="166" t="s">
        <v>137</v>
      </c>
      <c r="J11" s="55"/>
      <c r="K11" s="55"/>
      <c r="L11" s="59"/>
      <c r="M11" s="114">
        <f t="shared" si="0"/>
        <v>0</v>
      </c>
      <c r="N11" s="163"/>
    </row>
    <row r="12" s="148" customFormat="1" ht="9" customHeight="1" spans="2:14">
      <c r="B12" s="167"/>
      <c r="C12" s="167"/>
      <c r="D12" s="167"/>
      <c r="E12" s="167"/>
      <c r="F12" s="167"/>
      <c r="G12" s="167"/>
      <c r="H12" s="167"/>
      <c r="I12" s="167"/>
      <c r="J12" s="167"/>
      <c r="K12" s="167"/>
      <c r="L12" s="167"/>
      <c r="M12" s="168"/>
      <c r="N12" s="152"/>
    </row>
    <row r="13" s="148" customFormat="1" ht="213" customHeight="1" spans="2:14">
      <c r="B13" s="118" t="s">
        <v>47</v>
      </c>
      <c r="C13" s="38" t="s">
        <v>113</v>
      </c>
      <c r="D13" s="48">
        <v>1</v>
      </c>
      <c r="E13" s="38" t="s">
        <v>138</v>
      </c>
      <c r="F13" s="48"/>
      <c r="G13" s="169">
        <v>100</v>
      </c>
      <c r="H13" s="170"/>
      <c r="I13" s="162" t="s">
        <v>116</v>
      </c>
      <c r="J13" s="38"/>
      <c r="K13" s="38"/>
      <c r="L13" s="33"/>
      <c r="M13" s="114">
        <f>J13*0.1+K13*0.9</f>
        <v>0</v>
      </c>
      <c r="N13" s="163">
        <f>(M13*F13+M14*F14+M15*F15+M16*F16+M17*F17+M18*F18)*0.8+L13*0.2</f>
        <v>0</v>
      </c>
    </row>
    <row r="14" s="148" customFormat="1" ht="219" spans="2:14">
      <c r="B14" s="105"/>
      <c r="C14" s="22" t="s">
        <v>117</v>
      </c>
      <c r="D14" s="25"/>
      <c r="E14" s="171" t="s">
        <v>139</v>
      </c>
      <c r="F14" s="24"/>
      <c r="G14" s="172">
        <v>100</v>
      </c>
      <c r="H14" s="170"/>
      <c r="I14" s="173" t="s">
        <v>119</v>
      </c>
      <c r="J14" s="22"/>
      <c r="K14" s="22"/>
      <c r="L14" s="33"/>
      <c r="M14" s="114">
        <f t="shared" ref="M13:M18" si="1">J14*0.1+K14*0.9</f>
        <v>0</v>
      </c>
      <c r="N14" s="163"/>
    </row>
    <row r="15" s="149" customFormat="1" ht="171" customHeight="1" spans="2:14">
      <c r="B15" s="105"/>
      <c r="C15" s="22" t="s">
        <v>82</v>
      </c>
      <c r="D15" s="25"/>
      <c r="E15" s="22" t="s">
        <v>83</v>
      </c>
      <c r="F15" s="22"/>
      <c r="G15" s="25">
        <v>100</v>
      </c>
      <c r="H15" s="170"/>
      <c r="I15" s="58" t="s">
        <v>84</v>
      </c>
      <c r="J15" s="174"/>
      <c r="K15" s="174"/>
      <c r="L15" s="33"/>
      <c r="M15" s="114">
        <f t="shared" si="1"/>
        <v>0</v>
      </c>
      <c r="N15" s="163"/>
    </row>
    <row r="16" s="149" customFormat="1" ht="134" customHeight="1" spans="2:14">
      <c r="B16" s="105"/>
      <c r="C16" s="22" t="s">
        <v>85</v>
      </c>
      <c r="D16" s="25"/>
      <c r="E16" s="22" t="s">
        <v>86</v>
      </c>
      <c r="F16" s="22"/>
      <c r="G16" s="25">
        <v>100</v>
      </c>
      <c r="H16" s="170"/>
      <c r="I16" s="58" t="s">
        <v>87</v>
      </c>
      <c r="J16" s="174"/>
      <c r="K16" s="174"/>
      <c r="L16" s="33"/>
      <c r="M16" s="114">
        <f t="shared" si="1"/>
        <v>0</v>
      </c>
      <c r="N16" s="163"/>
    </row>
    <row r="17" s="149" customFormat="1" ht="114" customHeight="1" spans="2:14">
      <c r="B17" s="105"/>
      <c r="C17" s="22" t="s">
        <v>88</v>
      </c>
      <c r="D17" s="25"/>
      <c r="E17" s="22" t="s">
        <v>89</v>
      </c>
      <c r="F17" s="22"/>
      <c r="G17" s="25">
        <v>100</v>
      </c>
      <c r="H17" s="170"/>
      <c r="I17" s="58" t="s">
        <v>90</v>
      </c>
      <c r="J17" s="174"/>
      <c r="K17" s="174"/>
      <c r="L17" s="33"/>
      <c r="M17" s="114">
        <f t="shared" si="1"/>
        <v>0</v>
      </c>
      <c r="N17" s="163"/>
    </row>
    <row r="18" s="149" customFormat="1" ht="113" customHeight="1" spans="2:14">
      <c r="B18" s="105"/>
      <c r="C18" s="22" t="s">
        <v>91</v>
      </c>
      <c r="D18" s="25"/>
      <c r="E18" s="22" t="s">
        <v>92</v>
      </c>
      <c r="F18" s="22"/>
      <c r="G18" s="25">
        <v>100</v>
      </c>
      <c r="H18" s="175"/>
      <c r="I18" s="58" t="s">
        <v>93</v>
      </c>
      <c r="J18" s="174"/>
      <c r="K18" s="174"/>
      <c r="L18" s="38"/>
      <c r="M18" s="114">
        <f t="shared" si="1"/>
        <v>0</v>
      </c>
      <c r="N18" s="163"/>
    </row>
    <row r="19" s="149" customFormat="1" ht="30" customHeight="1" spans="2:14">
      <c r="B19" s="176" t="s">
        <v>15</v>
      </c>
      <c r="C19" s="177"/>
      <c r="D19" s="177"/>
      <c r="E19" s="177"/>
      <c r="F19" s="177"/>
      <c r="G19" s="177"/>
      <c r="H19" s="178"/>
      <c r="I19" s="177"/>
      <c r="J19" s="177"/>
      <c r="K19" s="177"/>
      <c r="L19" s="179"/>
      <c r="M19" s="180"/>
      <c r="N19" s="181">
        <f>N4*0.3+N6*0.4+N13*0.3</f>
        <v>0</v>
      </c>
    </row>
    <row r="20" s="148" customFormat="1" ht="72.6" customHeight="1" spans="2:14">
      <c r="B20" s="171" t="s">
        <v>140</v>
      </c>
      <c r="C20" s="171"/>
      <c r="D20" s="171"/>
      <c r="E20" s="171"/>
      <c r="F20" s="171"/>
      <c r="G20" s="171"/>
      <c r="H20" s="171"/>
      <c r="I20" s="171" t="s">
        <v>141</v>
      </c>
      <c r="J20" s="171"/>
      <c r="K20" s="171"/>
      <c r="L20" s="171"/>
      <c r="M20" s="182"/>
      <c r="N20" s="152"/>
    </row>
  </sheetData>
  <sheetProtection algorithmName="SHA-512" hashValue="jeP3t0iTwvQo7SkkFdPKwAZsYezVtTcZgpP3FoD5AkIvJtpJkfEorxZbcpBHKKGx4JKFa0t/zxLMu2HDNn+Sqg==" saltValue="bhmv8PjdIC9jISc7j/693Q==" spinCount="100000" sheet="1" objects="1"/>
  <mergeCells count="16">
    <mergeCell ref="B1:M1"/>
    <mergeCell ref="B2:M2"/>
    <mergeCell ref="B19:L19"/>
    <mergeCell ref="B20:G20"/>
    <mergeCell ref="I20:M20"/>
    <mergeCell ref="B6:B11"/>
    <mergeCell ref="B13:B18"/>
    <mergeCell ref="C6:C8"/>
    <mergeCell ref="D6:D11"/>
    <mergeCell ref="D13:D18"/>
    <mergeCell ref="H6:H11"/>
    <mergeCell ref="H13:H18"/>
    <mergeCell ref="L6:L11"/>
    <mergeCell ref="L13:L18"/>
    <mergeCell ref="N6:N11"/>
    <mergeCell ref="N13:N18"/>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G8"/>
  <sheetViews>
    <sheetView workbookViewId="0">
      <selection activeCell="F5" sqref="F5"/>
    </sheetView>
  </sheetViews>
  <sheetFormatPr defaultColWidth="8.25" defaultRowHeight="16.8" outlineLevelRow="7" outlineLevelCol="6"/>
  <cols>
    <col min="1" max="1" width="4.40178571428571" customWidth="1"/>
    <col min="2" max="2" width="25.4821428571429" customWidth="1"/>
    <col min="3" max="3" width="7.51785714285714" customWidth="1"/>
    <col min="4" max="4" width="46.4732142857143" customWidth="1"/>
    <col min="5" max="6" width="9.53571428571429" customWidth="1"/>
    <col min="7" max="7" width="17.7857142857143" customWidth="1"/>
  </cols>
  <sheetData>
    <row r="1" customFormat="1" ht="38.15" customHeight="1" spans="2:7">
      <c r="B1" s="65" t="s">
        <v>4</v>
      </c>
      <c r="C1" s="65"/>
      <c r="D1" s="65"/>
      <c r="E1" s="65"/>
      <c r="F1" s="65"/>
      <c r="G1" s="65"/>
    </row>
    <row r="2" customFormat="1" ht="25.25" customHeight="1" spans="2:7">
      <c r="B2" s="66" t="s">
        <v>5</v>
      </c>
      <c r="C2" s="66"/>
      <c r="D2" s="66"/>
      <c r="E2" s="66"/>
      <c r="F2" s="66"/>
      <c r="G2" s="66"/>
    </row>
    <row r="3" customFormat="1" ht="27.95" customHeight="1" spans="2:7">
      <c r="B3" s="67" t="s">
        <v>6</v>
      </c>
      <c r="C3" s="67" t="s">
        <v>7</v>
      </c>
      <c r="D3" s="68" t="s">
        <v>8</v>
      </c>
      <c r="E3" s="68" t="s">
        <v>9</v>
      </c>
      <c r="F3" s="68" t="s">
        <v>10</v>
      </c>
      <c r="G3" s="68" t="s">
        <v>11</v>
      </c>
    </row>
    <row r="4" customFormat="1" ht="68.25" customHeight="1" spans="2:7">
      <c r="B4" s="69" t="s">
        <v>12</v>
      </c>
      <c r="C4" s="70">
        <v>0.3</v>
      </c>
      <c r="D4" s="66">
        <f>设计岗明细!I4</f>
        <v>0</v>
      </c>
      <c r="E4" s="66"/>
      <c r="F4" s="66">
        <f>设计岗明细!O4</f>
        <v>0</v>
      </c>
      <c r="G4" s="67">
        <f t="shared" ref="G4:G6" si="0">F4*C4</f>
        <v>0</v>
      </c>
    </row>
    <row r="5" customFormat="1" ht="61.25" customHeight="1" spans="2:7">
      <c r="B5" s="69" t="s">
        <v>13</v>
      </c>
      <c r="C5" s="70">
        <v>0.4</v>
      </c>
      <c r="D5" s="66">
        <f>设计岗明细!I6</f>
        <v>0</v>
      </c>
      <c r="E5" s="66"/>
      <c r="F5" s="66">
        <f>设计岗明细!O6</f>
        <v>0</v>
      </c>
      <c r="G5" s="67">
        <f t="shared" si="0"/>
        <v>0</v>
      </c>
    </row>
    <row r="6" customFormat="1" ht="54.8" customHeight="1" spans="2:7">
      <c r="B6" s="71" t="s">
        <v>14</v>
      </c>
      <c r="C6" s="70">
        <v>0.3</v>
      </c>
      <c r="D6" s="72">
        <f>设计岗明细!I11</f>
        <v>0</v>
      </c>
      <c r="E6" s="72"/>
      <c r="F6" s="66">
        <f>设计岗明细!O11</f>
        <v>0</v>
      </c>
      <c r="G6" s="67">
        <f t="shared" si="0"/>
        <v>0</v>
      </c>
    </row>
    <row r="7" customFormat="1" ht="22.05" customHeight="1" spans="2:7">
      <c r="B7" s="67" t="s">
        <v>15</v>
      </c>
      <c r="C7" s="67"/>
      <c r="D7" s="67"/>
      <c r="E7" s="67"/>
      <c r="F7" s="67"/>
      <c r="G7" s="67">
        <f>SUM(G4:G6)</f>
        <v>0</v>
      </c>
    </row>
    <row r="8" customFormat="1" ht="42.45" customHeight="1" spans="2:7">
      <c r="B8" s="73" t="s">
        <v>16</v>
      </c>
      <c r="C8" s="74"/>
      <c r="D8" s="73" t="s">
        <v>17</v>
      </c>
      <c r="E8" s="75"/>
      <c r="F8" s="75"/>
      <c r="G8" s="74"/>
    </row>
  </sheetData>
  <mergeCells count="5">
    <mergeCell ref="B1:G1"/>
    <mergeCell ref="B2:G2"/>
    <mergeCell ref="B7:F7"/>
    <mergeCell ref="B8:C8"/>
    <mergeCell ref="D8:G8"/>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1:O17"/>
  <sheetViews>
    <sheetView zoomScale="90" zoomScaleNormal="90" topLeftCell="B1" workbookViewId="0">
      <pane xSplit="2" ySplit="3" topLeftCell="D4" activePane="bottomRight" state="frozen"/>
      <selection/>
      <selection pane="topRight"/>
      <selection pane="bottomLeft"/>
      <selection pane="bottomRight" activeCell="I6" sqref="I6:I9"/>
    </sheetView>
  </sheetViews>
  <sheetFormatPr defaultColWidth="8.25" defaultRowHeight="15.6"/>
  <cols>
    <col min="1" max="1" width="1.22321428571429" style="97" hidden="1" customWidth="1"/>
    <col min="2" max="2" width="3.41964285714286" style="97" customWidth="1"/>
    <col min="3" max="3" width="10.0803571428571" style="97" customWidth="1"/>
    <col min="4" max="5" width="10.9017857142857" style="97" customWidth="1"/>
    <col min="6" max="6" width="30.6607142857143" style="98" customWidth="1"/>
    <col min="7" max="7" width="8.91964285714286" style="97" customWidth="1"/>
    <col min="8" max="8" width="7.74107142857143" style="97" customWidth="1"/>
    <col min="9" max="9" width="33.5" style="99" customWidth="1"/>
    <col min="10" max="10" width="62.3303571428571" style="97" customWidth="1"/>
    <col min="11" max="11" width="7.74107142857143" style="97" customWidth="1"/>
    <col min="12" max="12" width="10.2857142857143" style="97" customWidth="1"/>
    <col min="13" max="13" width="7.75" style="97" customWidth="1"/>
    <col min="14" max="14" width="11.4196428571429" style="100" customWidth="1"/>
    <col min="15" max="15" width="10.1696428571429" style="100" customWidth="1"/>
    <col min="16" max="16384" width="8.25" style="97"/>
  </cols>
  <sheetData>
    <row r="1" s="97" customFormat="1" ht="19.2" spans="3:15">
      <c r="C1" s="101" t="s">
        <v>4</v>
      </c>
      <c r="D1" s="101"/>
      <c r="E1" s="101"/>
      <c r="F1" s="101"/>
      <c r="G1" s="102"/>
      <c r="H1" s="102"/>
      <c r="I1" s="101"/>
      <c r="J1" s="102"/>
      <c r="K1" s="102"/>
      <c r="L1" s="102"/>
      <c r="M1" s="102"/>
      <c r="N1" s="103"/>
      <c r="O1" s="100"/>
    </row>
    <row r="2" s="97" customFormat="1" spans="3:15">
      <c r="C2" s="13" t="s">
        <v>18</v>
      </c>
      <c r="D2" s="104"/>
      <c r="E2" s="104"/>
      <c r="F2" s="104"/>
      <c r="G2" s="11"/>
      <c r="H2" s="11"/>
      <c r="I2" s="13"/>
      <c r="J2" s="11"/>
      <c r="K2" s="11"/>
      <c r="L2" s="11"/>
      <c r="M2" s="11"/>
      <c r="N2" s="79"/>
      <c r="O2" s="100"/>
    </row>
    <row r="3" s="97" customFormat="1" ht="47" spans="3:15">
      <c r="C3" s="81" t="s">
        <v>6</v>
      </c>
      <c r="D3" s="81" t="s">
        <v>20</v>
      </c>
      <c r="E3" s="81" t="s">
        <v>19</v>
      </c>
      <c r="F3" s="81" t="s">
        <v>21</v>
      </c>
      <c r="G3" s="82" t="s">
        <v>7</v>
      </c>
      <c r="H3" s="82" t="s">
        <v>22</v>
      </c>
      <c r="I3" s="83" t="s">
        <v>8</v>
      </c>
      <c r="J3" s="80" t="s">
        <v>23</v>
      </c>
      <c r="K3" s="84" t="s">
        <v>24</v>
      </c>
      <c r="L3" s="85" t="s">
        <v>25</v>
      </c>
      <c r="M3" s="85" t="s">
        <v>59</v>
      </c>
      <c r="N3" s="86" t="s">
        <v>27</v>
      </c>
      <c r="O3" s="86" t="s">
        <v>15</v>
      </c>
    </row>
    <row r="4" s="97" customFormat="1" ht="78" spans="3:15">
      <c r="C4" s="105" t="s">
        <v>12</v>
      </c>
      <c r="D4" s="106" t="s">
        <v>60</v>
      </c>
      <c r="E4" s="107">
        <v>1</v>
      </c>
      <c r="F4" s="108" t="s">
        <v>142</v>
      </c>
      <c r="G4" s="109"/>
      <c r="H4" s="110">
        <v>100</v>
      </c>
      <c r="I4" s="111"/>
      <c r="J4" s="112" t="s">
        <v>143</v>
      </c>
      <c r="K4" s="113"/>
      <c r="L4" s="113"/>
      <c r="M4" s="113"/>
      <c r="N4" s="114">
        <f>K4*0.1+L4*0.9</f>
        <v>0</v>
      </c>
      <c r="O4" s="115">
        <f>(N4*G4)*0.8+M4*0.2</f>
        <v>0</v>
      </c>
    </row>
    <row r="5" s="97" customFormat="1" ht="9" customHeight="1" spans="3:15">
      <c r="C5" s="105"/>
      <c r="D5" s="105"/>
      <c r="E5" s="105"/>
      <c r="F5" s="105"/>
      <c r="G5" s="105"/>
      <c r="H5" s="105"/>
      <c r="I5" s="105"/>
      <c r="J5" s="105"/>
      <c r="K5" s="105"/>
      <c r="L5" s="105"/>
      <c r="M5" s="105"/>
      <c r="N5" s="116"/>
      <c r="O5" s="117"/>
    </row>
    <row r="6" s="97" customFormat="1" ht="47" spans="3:15">
      <c r="C6" s="118" t="s">
        <v>13</v>
      </c>
      <c r="D6" s="119" t="s">
        <v>144</v>
      </c>
      <c r="E6" s="120">
        <v>1</v>
      </c>
      <c r="F6" s="121" t="s">
        <v>145</v>
      </c>
      <c r="G6" s="122"/>
      <c r="H6" s="123">
        <v>100</v>
      </c>
      <c r="I6" s="124"/>
      <c r="J6" s="125" t="s">
        <v>146</v>
      </c>
      <c r="K6" s="126"/>
      <c r="L6" s="123"/>
      <c r="M6" s="127"/>
      <c r="N6" s="114">
        <f t="shared" ref="N4:N9" si="0">K6*0.1+L6*0.9</f>
        <v>0</v>
      </c>
      <c r="O6" s="128">
        <f>(N6*G6+N7*G7+N8*G8+N9*G9)*0.8+M6*0.2</f>
        <v>0</v>
      </c>
    </row>
    <row r="7" s="97" customFormat="1" ht="110" spans="3:15">
      <c r="C7" s="105"/>
      <c r="D7" s="106" t="s">
        <v>72</v>
      </c>
      <c r="E7" s="124"/>
      <c r="F7" s="108" t="s">
        <v>73</v>
      </c>
      <c r="G7" s="109"/>
      <c r="H7" s="110">
        <v>100</v>
      </c>
      <c r="I7" s="124"/>
      <c r="J7" s="112" t="s">
        <v>147</v>
      </c>
      <c r="K7" s="113"/>
      <c r="L7" s="111"/>
      <c r="M7" s="127"/>
      <c r="N7" s="114">
        <f t="shared" si="0"/>
        <v>0</v>
      </c>
      <c r="O7" s="128"/>
    </row>
    <row r="8" s="97" customFormat="1" ht="156" spans="3:15">
      <c r="C8" s="105"/>
      <c r="D8" s="124"/>
      <c r="E8" s="124"/>
      <c r="F8" s="108" t="s">
        <v>75</v>
      </c>
      <c r="G8" s="109"/>
      <c r="H8" s="110">
        <v>100</v>
      </c>
      <c r="I8" s="124"/>
      <c r="J8" s="112" t="s">
        <v>76</v>
      </c>
      <c r="K8" s="113"/>
      <c r="L8" s="111"/>
      <c r="M8" s="127"/>
      <c r="N8" s="114">
        <f t="shared" si="0"/>
        <v>0</v>
      </c>
      <c r="O8" s="128"/>
    </row>
    <row r="9" s="97" customFormat="1" ht="110" spans="3:15">
      <c r="C9" s="129"/>
      <c r="D9" s="124"/>
      <c r="E9" s="124"/>
      <c r="F9" s="130" t="s">
        <v>77</v>
      </c>
      <c r="G9" s="131"/>
      <c r="H9" s="132">
        <v>100</v>
      </c>
      <c r="I9" s="124"/>
      <c r="J9" s="133" t="s">
        <v>78</v>
      </c>
      <c r="K9" s="134"/>
      <c r="L9" s="106"/>
      <c r="M9" s="127"/>
      <c r="N9" s="114">
        <f t="shared" si="0"/>
        <v>0</v>
      </c>
      <c r="O9" s="128"/>
    </row>
    <row r="10" s="97" customFormat="1" ht="10" customHeight="1" spans="3:15">
      <c r="C10" s="135"/>
      <c r="D10" s="136"/>
      <c r="E10" s="136"/>
      <c r="F10" s="136"/>
      <c r="G10" s="136"/>
      <c r="H10" s="136"/>
      <c r="I10" s="136"/>
      <c r="J10" s="136"/>
      <c r="K10" s="136"/>
      <c r="L10" s="136"/>
      <c r="M10" s="136"/>
      <c r="N10" s="137"/>
      <c r="O10" s="100"/>
    </row>
    <row r="11" s="97" customFormat="1" ht="127" customHeight="1" spans="3:15">
      <c r="C11" s="118" t="s">
        <v>47</v>
      </c>
      <c r="D11" s="123" t="s">
        <v>79</v>
      </c>
      <c r="E11" s="138">
        <v>1</v>
      </c>
      <c r="F11" s="121" t="s">
        <v>80</v>
      </c>
      <c r="G11" s="122"/>
      <c r="H11" s="123">
        <v>100</v>
      </c>
      <c r="I11" s="124"/>
      <c r="J11" s="125" t="s">
        <v>81</v>
      </c>
      <c r="K11" s="126"/>
      <c r="L11" s="119"/>
      <c r="M11" s="124"/>
      <c r="N11" s="114">
        <f>K11*0.1+L11*0.9</f>
        <v>0</v>
      </c>
      <c r="O11" s="139">
        <f>(N11*G11+N12*G12+N13*G13+N14*G14+N15*G15)*0.8+M11*0.2</f>
        <v>0</v>
      </c>
    </row>
    <row r="12" s="97" customFormat="1" ht="68" customHeight="1" spans="3:15">
      <c r="C12" s="105"/>
      <c r="D12" s="22" t="s">
        <v>82</v>
      </c>
      <c r="E12" s="127"/>
      <c r="F12" s="22" t="s">
        <v>83</v>
      </c>
      <c r="G12" s="22"/>
      <c r="H12" s="25">
        <v>100</v>
      </c>
      <c r="I12" s="124"/>
      <c r="J12" s="58" t="s">
        <v>84</v>
      </c>
      <c r="K12" s="110"/>
      <c r="L12" s="110"/>
      <c r="M12" s="124"/>
      <c r="N12" s="114">
        <f>K12*0.1+L12*0.9</f>
        <v>0</v>
      </c>
      <c r="O12" s="139"/>
    </row>
    <row r="13" s="97" customFormat="1" ht="168" customHeight="1" spans="3:15">
      <c r="C13" s="105"/>
      <c r="D13" s="22" t="s">
        <v>85</v>
      </c>
      <c r="E13" s="127"/>
      <c r="F13" s="22" t="s">
        <v>86</v>
      </c>
      <c r="G13" s="22"/>
      <c r="H13" s="25">
        <v>100</v>
      </c>
      <c r="I13" s="124"/>
      <c r="J13" s="58" t="s">
        <v>87</v>
      </c>
      <c r="K13" s="110"/>
      <c r="L13" s="110"/>
      <c r="M13" s="124"/>
      <c r="N13" s="114">
        <f>K13*0.1+L13*0.9</f>
        <v>0</v>
      </c>
      <c r="O13" s="139"/>
    </row>
    <row r="14" s="97" customFormat="1" ht="107" customHeight="1" spans="3:15">
      <c r="C14" s="105"/>
      <c r="D14" s="22" t="s">
        <v>88</v>
      </c>
      <c r="E14" s="127"/>
      <c r="F14" s="22" t="s">
        <v>89</v>
      </c>
      <c r="G14" s="22"/>
      <c r="H14" s="25">
        <v>100</v>
      </c>
      <c r="I14" s="124"/>
      <c r="J14" s="58" t="s">
        <v>90</v>
      </c>
      <c r="K14" s="110"/>
      <c r="L14" s="110"/>
      <c r="M14" s="124"/>
      <c r="N14" s="114">
        <f>K14*0.1+L14*0.9</f>
        <v>0</v>
      </c>
      <c r="O14" s="139"/>
    </row>
    <row r="15" s="97" customFormat="1" ht="114" customHeight="1" spans="3:15">
      <c r="C15" s="105"/>
      <c r="D15" s="22" t="s">
        <v>91</v>
      </c>
      <c r="E15" s="123"/>
      <c r="F15" s="22" t="s">
        <v>92</v>
      </c>
      <c r="G15" s="22"/>
      <c r="H15" s="25">
        <v>100</v>
      </c>
      <c r="I15" s="119"/>
      <c r="J15" s="58" t="s">
        <v>93</v>
      </c>
      <c r="K15" s="110"/>
      <c r="L15" s="110"/>
      <c r="M15" s="119"/>
      <c r="N15" s="114">
        <f>K15*0.1+L15*0.9</f>
        <v>0</v>
      </c>
      <c r="O15" s="139"/>
    </row>
    <row r="16" s="97" customFormat="1" ht="23.25" customHeight="1" spans="3:15">
      <c r="C16" s="140" t="s">
        <v>15</v>
      </c>
      <c r="D16" s="141"/>
      <c r="E16" s="141"/>
      <c r="F16" s="141"/>
      <c r="G16" s="141"/>
      <c r="H16" s="141"/>
      <c r="I16" s="142"/>
      <c r="J16" s="141"/>
      <c r="K16" s="141"/>
      <c r="L16" s="141"/>
      <c r="M16" s="143"/>
      <c r="N16" s="139">
        <f>O4*0.3+O6*0.4+O11*0.3</f>
        <v>0</v>
      </c>
      <c r="O16" s="100"/>
    </row>
    <row r="17" s="97" customFormat="1" ht="41.1" customHeight="1" spans="3:15">
      <c r="C17" s="144" t="s">
        <v>148</v>
      </c>
      <c r="D17" s="145"/>
      <c r="E17" s="145"/>
      <c r="F17" s="145"/>
      <c r="G17" s="146"/>
      <c r="H17" s="144" t="s">
        <v>58</v>
      </c>
      <c r="I17" s="145"/>
      <c r="J17" s="145"/>
      <c r="K17" s="145"/>
      <c r="L17" s="145"/>
      <c r="M17" s="145"/>
      <c r="N17" s="147"/>
      <c r="O17" s="100"/>
    </row>
  </sheetData>
  <sheetProtection algorithmName="SHA-512" hashValue="dtqqnx4TCHAhR9UVqEvnreMIcNNxDxEGloPr6T8XE2rffUQUdSKAm5lePsYeB6iL1HGvOTb0hD0Zmyp19XaYgQ==" saltValue="aumrgP2b3qxSWJHT/nRAfw==" spinCount="100000" sheet="1" objects="1"/>
  <mergeCells count="18">
    <mergeCell ref="C1:N1"/>
    <mergeCell ref="C2:N2"/>
    <mergeCell ref="C5:N5"/>
    <mergeCell ref="C10:N10"/>
    <mergeCell ref="C16:M16"/>
    <mergeCell ref="C17:G17"/>
    <mergeCell ref="H17:N17"/>
    <mergeCell ref="C6:C9"/>
    <mergeCell ref="C11:C15"/>
    <mergeCell ref="D7:D9"/>
    <mergeCell ref="E6:E9"/>
    <mergeCell ref="E11:E15"/>
    <mergeCell ref="I6:I9"/>
    <mergeCell ref="I11:I15"/>
    <mergeCell ref="M6:M9"/>
    <mergeCell ref="M11:M15"/>
    <mergeCell ref="O6:O9"/>
    <mergeCell ref="O11:O15"/>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G8"/>
  <sheetViews>
    <sheetView workbookViewId="0">
      <selection activeCell="G7" sqref="G7"/>
    </sheetView>
  </sheetViews>
  <sheetFormatPr defaultColWidth="8.25" defaultRowHeight="16.8" outlineLevelRow="7" outlineLevelCol="6"/>
  <cols>
    <col min="1" max="1" width="4.40178571428571" customWidth="1"/>
    <col min="2" max="2" width="25.4821428571429" customWidth="1"/>
    <col min="3" max="3" width="7.51785714285714" customWidth="1"/>
    <col min="4" max="4" width="46.4732142857143" customWidth="1"/>
    <col min="5" max="6" width="9.53571428571429" customWidth="1"/>
    <col min="7" max="7" width="17.7857142857143" customWidth="1"/>
  </cols>
  <sheetData>
    <row r="1" customFormat="1" ht="38.15" customHeight="1" spans="2:7">
      <c r="B1" s="65" t="s">
        <v>4</v>
      </c>
      <c r="C1" s="65"/>
      <c r="D1" s="65"/>
      <c r="E1" s="65"/>
      <c r="F1" s="65"/>
      <c r="G1" s="65"/>
    </row>
    <row r="2" customFormat="1" ht="25.25" customHeight="1" spans="2:7">
      <c r="B2" s="66" t="s">
        <v>5</v>
      </c>
      <c r="C2" s="66"/>
      <c r="D2" s="66"/>
      <c r="E2" s="66"/>
      <c r="F2" s="66"/>
      <c r="G2" s="66"/>
    </row>
    <row r="3" customFormat="1" ht="27.95" customHeight="1" spans="2:7">
      <c r="B3" s="67" t="s">
        <v>6</v>
      </c>
      <c r="C3" s="67" t="s">
        <v>7</v>
      </c>
      <c r="D3" s="68" t="s">
        <v>8</v>
      </c>
      <c r="E3" s="68" t="s">
        <v>9</v>
      </c>
      <c r="F3" s="68" t="s">
        <v>10</v>
      </c>
      <c r="G3" s="68" t="s">
        <v>11</v>
      </c>
    </row>
    <row r="4" customFormat="1" ht="68.25" customHeight="1" spans="2:7">
      <c r="B4" s="69" t="s">
        <v>12</v>
      </c>
      <c r="C4" s="70">
        <v>0.3</v>
      </c>
      <c r="D4" s="66">
        <f>项管岗明细!H4</f>
        <v>0</v>
      </c>
      <c r="E4" s="66"/>
      <c r="F4" s="66">
        <f>项管岗明细!N4</f>
        <v>0</v>
      </c>
      <c r="G4" s="67">
        <f t="shared" ref="G4:G6" si="0">F4*C4</f>
        <v>0</v>
      </c>
    </row>
    <row r="5" customFormat="1" ht="61.25" customHeight="1" spans="2:7">
      <c r="B5" s="69" t="s">
        <v>13</v>
      </c>
      <c r="C5" s="70">
        <v>0.4</v>
      </c>
      <c r="D5" s="66">
        <f>项管岗明细!H8</f>
        <v>0</v>
      </c>
      <c r="E5" s="66"/>
      <c r="F5" s="66">
        <f>项管岗明细!N8</f>
        <v>0</v>
      </c>
      <c r="G5" s="67">
        <f t="shared" si="0"/>
        <v>0</v>
      </c>
    </row>
    <row r="6" customFormat="1" ht="54.8" customHeight="1" spans="2:7">
      <c r="B6" s="71" t="s">
        <v>14</v>
      </c>
      <c r="C6" s="70">
        <v>0.3</v>
      </c>
      <c r="D6" s="72">
        <f>项管岗明细!H13</f>
        <v>0</v>
      </c>
      <c r="E6" s="72"/>
      <c r="F6" s="66">
        <f>项管岗明细!N13</f>
        <v>0</v>
      </c>
      <c r="G6" s="67">
        <f t="shared" si="0"/>
        <v>0</v>
      </c>
    </row>
    <row r="7" customFormat="1" ht="22.05" customHeight="1" spans="2:7">
      <c r="B7" s="67" t="s">
        <v>15</v>
      </c>
      <c r="C7" s="67"/>
      <c r="D7" s="67"/>
      <c r="E7" s="67"/>
      <c r="F7" s="67"/>
      <c r="G7" s="67">
        <f>SUM(G4:G6)</f>
        <v>0</v>
      </c>
    </row>
    <row r="8" customFormat="1" ht="42.45" customHeight="1" spans="2:7">
      <c r="B8" s="73" t="s">
        <v>16</v>
      </c>
      <c r="C8" s="74"/>
      <c r="D8" s="73" t="s">
        <v>17</v>
      </c>
      <c r="E8" s="75"/>
      <c r="F8" s="75"/>
      <c r="G8" s="74"/>
    </row>
  </sheetData>
  <mergeCells count="5">
    <mergeCell ref="B1:G1"/>
    <mergeCell ref="B2:G2"/>
    <mergeCell ref="B7:F7"/>
    <mergeCell ref="B8:C8"/>
    <mergeCell ref="D8:G8"/>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R19"/>
  <sheetViews>
    <sheetView zoomScale="85" zoomScaleNormal="85" workbookViewId="0">
      <pane xSplit="3" ySplit="3" topLeftCell="D4" activePane="bottomRight" state="frozen"/>
      <selection/>
      <selection pane="topRight"/>
      <selection pane="bottomLeft"/>
      <selection pane="bottomRight" activeCell="H4" sqref="H4:H6"/>
    </sheetView>
  </sheetViews>
  <sheetFormatPr defaultColWidth="8.21428571428571" defaultRowHeight="16.8"/>
  <cols>
    <col min="1" max="1" width="1.21428571428571" style="1" customWidth="1"/>
    <col min="2" max="2" width="7.89285714285714" style="1" customWidth="1"/>
    <col min="3" max="4" width="8.6875" style="2" customWidth="1"/>
    <col min="5" max="5" width="16.4196428571429" style="3" customWidth="1"/>
    <col min="6" max="6" width="8.61607142857143" style="1" customWidth="1"/>
    <col min="7" max="7" width="7.21428571428571" style="1" customWidth="1"/>
    <col min="8" max="8" width="38.3303571428571" style="4" customWidth="1"/>
    <col min="9" max="9" width="74.6339285714286" style="1" customWidth="1"/>
    <col min="10" max="10" width="9.84821428571429" style="5" customWidth="1"/>
    <col min="11" max="12" width="10" style="6" customWidth="1"/>
    <col min="13" max="13" width="10.9196428571429" style="76" customWidth="1"/>
    <col min="14" max="14" width="13.5803571428571" style="77" customWidth="1"/>
    <col min="15" max="16384" width="8.21428571428571" style="1"/>
  </cols>
  <sheetData>
    <row r="1" ht="19.2" spans="2:18">
      <c r="B1" s="8" t="s">
        <v>4</v>
      </c>
      <c r="C1" s="8"/>
      <c r="D1" s="8"/>
      <c r="E1" s="8"/>
      <c r="F1" s="8"/>
      <c r="G1" s="8"/>
      <c r="H1" s="9"/>
      <c r="I1" s="8"/>
      <c r="J1" s="8"/>
      <c r="K1" s="8"/>
      <c r="L1" s="8"/>
      <c r="M1" s="78"/>
    </row>
    <row r="2" ht="24" customHeight="1" spans="2:18">
      <c r="B2" s="11" t="s">
        <v>18</v>
      </c>
      <c r="C2" s="12"/>
      <c r="D2" s="12"/>
      <c r="E2" s="12"/>
      <c r="F2" s="11"/>
      <c r="G2" s="11"/>
      <c r="H2" s="13"/>
      <c r="I2" s="11"/>
      <c r="J2" s="11"/>
      <c r="K2" s="11"/>
      <c r="L2" s="11"/>
      <c r="M2" s="79"/>
    </row>
    <row r="3" ht="47" spans="2:18">
      <c r="B3" s="80" t="s">
        <v>6</v>
      </c>
      <c r="C3" s="80" t="s">
        <v>20</v>
      </c>
      <c r="D3" s="80" t="s">
        <v>19</v>
      </c>
      <c r="E3" s="81" t="s">
        <v>21</v>
      </c>
      <c r="F3" s="82" t="s">
        <v>7</v>
      </c>
      <c r="G3" s="82" t="s">
        <v>22</v>
      </c>
      <c r="H3" s="83" t="s">
        <v>8</v>
      </c>
      <c r="I3" s="80" t="s">
        <v>23</v>
      </c>
      <c r="J3" s="84" t="s">
        <v>24</v>
      </c>
      <c r="K3" s="85" t="s">
        <v>25</v>
      </c>
      <c r="L3" s="85" t="s">
        <v>59</v>
      </c>
      <c r="M3" s="86" t="s">
        <v>27</v>
      </c>
      <c r="N3" s="86" t="s">
        <v>15</v>
      </c>
    </row>
    <row r="4" ht="156" customHeight="1" spans="2:18">
      <c r="B4" s="81" t="s">
        <v>28</v>
      </c>
      <c r="C4" s="22" t="s">
        <v>60</v>
      </c>
      <c r="D4" s="23">
        <v>1</v>
      </c>
      <c r="E4" s="22" t="s">
        <v>149</v>
      </c>
      <c r="F4" s="24"/>
      <c r="G4" s="25">
        <v>100</v>
      </c>
      <c r="H4" s="26"/>
      <c r="I4" s="27" t="s">
        <v>150</v>
      </c>
      <c r="J4" s="28"/>
      <c r="K4" s="29"/>
      <c r="L4" s="30"/>
      <c r="M4" s="87">
        <f>J4*0.1+K4*0.9</f>
        <v>0</v>
      </c>
      <c r="N4" s="88">
        <f>(M4*F4+M5*F5+M6*F6)*0.8+L4*0.2</f>
        <v>0</v>
      </c>
    </row>
    <row r="5" ht="155" customHeight="1" spans="2:18">
      <c r="B5" s="81"/>
      <c r="C5" s="22" t="s">
        <v>63</v>
      </c>
      <c r="D5" s="33"/>
      <c r="E5" s="22" t="s">
        <v>151</v>
      </c>
      <c r="F5" s="24"/>
      <c r="G5" s="25">
        <v>100</v>
      </c>
      <c r="H5" s="34"/>
      <c r="I5" s="35" t="s">
        <v>152</v>
      </c>
      <c r="J5" s="36"/>
      <c r="K5" s="25"/>
      <c r="L5" s="37"/>
      <c r="M5" s="87">
        <f t="shared" ref="M4:M6" si="0">J5*0.1+K5*0.9</f>
        <v>0</v>
      </c>
      <c r="N5" s="88"/>
      <c r="P5" s="4"/>
      <c r="Q5" s="4"/>
      <c r="R5" s="4"/>
    </row>
    <row r="6" ht="172" spans="2:18">
      <c r="B6" s="81"/>
      <c r="C6" s="22" t="s">
        <v>66</v>
      </c>
      <c r="D6" s="38"/>
      <c r="E6" s="22" t="s">
        <v>153</v>
      </c>
      <c r="F6" s="24"/>
      <c r="G6" s="25">
        <v>100</v>
      </c>
      <c r="H6" s="39"/>
      <c r="I6" s="35" t="s">
        <v>154</v>
      </c>
      <c r="J6" s="36"/>
      <c r="K6" s="29"/>
      <c r="L6" s="40"/>
      <c r="M6" s="87">
        <f t="shared" si="0"/>
        <v>0</v>
      </c>
      <c r="N6" s="88"/>
      <c r="P6" s="4"/>
      <c r="Q6" s="4"/>
      <c r="R6" s="4"/>
    </row>
    <row r="7" ht="12" customHeight="1" spans="2:18">
      <c r="B7" s="89"/>
      <c r="C7" s="90"/>
      <c r="D7" s="90"/>
      <c r="E7" s="90"/>
      <c r="F7" s="90"/>
      <c r="G7" s="90"/>
      <c r="H7" s="90"/>
      <c r="I7" s="90"/>
      <c r="J7" s="90"/>
      <c r="K7" s="90"/>
      <c r="L7" s="91"/>
      <c r="M7" s="92"/>
      <c r="N7" s="93"/>
    </row>
    <row r="8" ht="185" customHeight="1" spans="2:18">
      <c r="B8" s="94" t="s">
        <v>13</v>
      </c>
      <c r="C8" s="38" t="s">
        <v>69</v>
      </c>
      <c r="D8" s="47">
        <v>1</v>
      </c>
      <c r="E8" s="38" t="s">
        <v>70</v>
      </c>
      <c r="F8" s="48"/>
      <c r="G8" s="49">
        <v>100</v>
      </c>
      <c r="H8" s="34"/>
      <c r="I8" s="50" t="s">
        <v>71</v>
      </c>
      <c r="J8" s="51"/>
      <c r="K8" s="40"/>
      <c r="L8" s="37"/>
      <c r="M8" s="87">
        <f t="shared" ref="M8:M11" si="1">J8*0.1+K8*0.9</f>
        <v>0</v>
      </c>
      <c r="N8" s="88">
        <f>(M8*F8+M9*F9+M10*F10+F11*M11)*0.8+L8*0.2</f>
        <v>0</v>
      </c>
    </row>
    <row r="9" ht="78" spans="2:18">
      <c r="B9" s="94"/>
      <c r="C9" s="22" t="s">
        <v>72</v>
      </c>
      <c r="D9" s="33"/>
      <c r="E9" s="22" t="s">
        <v>73</v>
      </c>
      <c r="F9" s="24"/>
      <c r="G9" s="25">
        <v>100</v>
      </c>
      <c r="H9" s="34"/>
      <c r="I9" s="27" t="s">
        <v>74</v>
      </c>
      <c r="J9" s="52"/>
      <c r="K9" s="29"/>
      <c r="L9" s="37"/>
      <c r="M9" s="87">
        <f t="shared" si="1"/>
        <v>0</v>
      </c>
      <c r="N9" s="88"/>
    </row>
    <row r="10" ht="136" customHeight="1" spans="2:18">
      <c r="B10" s="94"/>
      <c r="C10" s="22"/>
      <c r="D10" s="33"/>
      <c r="E10" s="22" t="s">
        <v>75</v>
      </c>
      <c r="F10" s="24"/>
      <c r="G10" s="25">
        <v>100</v>
      </c>
      <c r="H10" s="34"/>
      <c r="I10" s="27" t="s">
        <v>76</v>
      </c>
      <c r="J10" s="52"/>
      <c r="K10" s="29"/>
      <c r="L10" s="37"/>
      <c r="M10" s="87">
        <f t="shared" si="1"/>
        <v>0</v>
      </c>
      <c r="N10" s="88"/>
    </row>
    <row r="11" ht="83" customHeight="1" spans="2:18">
      <c r="B11" s="94"/>
      <c r="C11" s="53"/>
      <c r="D11" s="33"/>
      <c r="E11" s="53" t="s">
        <v>77</v>
      </c>
      <c r="F11" s="54"/>
      <c r="G11" s="55">
        <v>100</v>
      </c>
      <c r="H11" s="34"/>
      <c r="I11" s="56" t="s">
        <v>78</v>
      </c>
      <c r="J11" s="57"/>
      <c r="K11" s="30"/>
      <c r="L11" s="37"/>
      <c r="M11" s="87">
        <f t="shared" si="1"/>
        <v>0</v>
      </c>
      <c r="N11" s="88"/>
      <c r="P11" s="4"/>
      <c r="Q11" s="4"/>
      <c r="R11" s="4"/>
    </row>
    <row r="12" ht="14" customHeight="1" spans="2:18">
      <c r="B12" s="89"/>
      <c r="C12" s="90"/>
      <c r="D12" s="90"/>
      <c r="E12" s="90"/>
      <c r="F12" s="90"/>
      <c r="G12" s="90"/>
      <c r="H12" s="90"/>
      <c r="I12" s="90"/>
      <c r="J12" s="90"/>
      <c r="K12" s="91"/>
      <c r="L12" s="91"/>
      <c r="M12" s="92"/>
      <c r="N12" s="93"/>
    </row>
    <row r="13" ht="118" customHeight="1" spans="2:18">
      <c r="B13" s="81" t="s">
        <v>47</v>
      </c>
      <c r="C13" s="25" t="s">
        <v>79</v>
      </c>
      <c r="D13" s="54">
        <v>1</v>
      </c>
      <c r="E13" s="22" t="s">
        <v>80</v>
      </c>
      <c r="F13" s="24"/>
      <c r="G13" s="25">
        <v>100</v>
      </c>
      <c r="H13" s="58"/>
      <c r="I13" s="27" t="s">
        <v>81</v>
      </c>
      <c r="J13" s="52"/>
      <c r="K13" s="29"/>
      <c r="L13" s="29"/>
      <c r="M13" s="87">
        <f t="shared" ref="M13:M17" si="2">J13*0.1+K13*0.9</f>
        <v>0</v>
      </c>
      <c r="N13" s="88">
        <f>(M13*F13+M14*F14+M15*F15+M16*F16+M17*F17)*0.8+L13*0.2</f>
        <v>0</v>
      </c>
    </row>
    <row r="14" ht="153" customHeight="1" spans="2:18">
      <c r="B14" s="81"/>
      <c r="C14" s="25" t="s">
        <v>82</v>
      </c>
      <c r="D14" s="59"/>
      <c r="E14" s="22" t="s">
        <v>83</v>
      </c>
      <c r="F14" s="22"/>
      <c r="G14" s="25">
        <v>100</v>
      </c>
      <c r="H14" s="58"/>
      <c r="I14" s="58" t="s">
        <v>84</v>
      </c>
      <c r="J14" s="22"/>
      <c r="K14" s="22"/>
      <c r="L14" s="29"/>
      <c r="M14" s="87">
        <f t="shared" si="2"/>
        <v>0</v>
      </c>
      <c r="N14" s="88"/>
    </row>
    <row r="15" ht="133" customHeight="1" spans="2:18">
      <c r="B15" s="81"/>
      <c r="C15" s="25" t="s">
        <v>85</v>
      </c>
      <c r="D15" s="59"/>
      <c r="E15" s="22" t="s">
        <v>86</v>
      </c>
      <c r="F15" s="22"/>
      <c r="G15" s="25">
        <v>100</v>
      </c>
      <c r="H15" s="58"/>
      <c r="I15" s="58" t="s">
        <v>87</v>
      </c>
      <c r="J15" s="22"/>
      <c r="K15" s="22"/>
      <c r="L15" s="29"/>
      <c r="M15" s="87">
        <f t="shared" si="2"/>
        <v>0</v>
      </c>
      <c r="N15" s="88"/>
    </row>
    <row r="16" ht="146" customHeight="1" spans="2:18">
      <c r="B16" s="81"/>
      <c r="C16" s="25" t="s">
        <v>88</v>
      </c>
      <c r="D16" s="59"/>
      <c r="E16" s="22" t="s">
        <v>89</v>
      </c>
      <c r="F16" s="22"/>
      <c r="G16" s="25">
        <v>100</v>
      </c>
      <c r="H16" s="58"/>
      <c r="I16" s="58" t="s">
        <v>90</v>
      </c>
      <c r="J16" s="22"/>
      <c r="K16" s="22"/>
      <c r="L16" s="29"/>
      <c r="M16" s="87">
        <f t="shared" si="2"/>
        <v>0</v>
      </c>
      <c r="N16" s="88"/>
    </row>
    <row r="17" ht="175" customHeight="1" spans="2:14">
      <c r="B17" s="81"/>
      <c r="C17" s="25" t="s">
        <v>91</v>
      </c>
      <c r="D17" s="49"/>
      <c r="E17" s="22" t="s">
        <v>92</v>
      </c>
      <c r="F17" s="22"/>
      <c r="G17" s="25">
        <v>100</v>
      </c>
      <c r="H17" s="58"/>
      <c r="I17" s="58" t="s">
        <v>93</v>
      </c>
      <c r="J17" s="22"/>
      <c r="K17" s="22"/>
      <c r="L17" s="29"/>
      <c r="M17" s="87">
        <f t="shared" si="2"/>
        <v>0</v>
      </c>
      <c r="N17" s="88"/>
    </row>
    <row r="18" ht="35.4" customHeight="1" spans="2:14">
      <c r="B18" s="22" t="s">
        <v>15</v>
      </c>
      <c r="C18" s="22"/>
      <c r="D18" s="22"/>
      <c r="E18" s="22"/>
      <c r="F18" s="22"/>
      <c r="G18" s="22"/>
      <c r="H18" s="22"/>
      <c r="I18" s="22"/>
      <c r="J18" s="22"/>
      <c r="K18" s="22"/>
      <c r="L18" s="22"/>
      <c r="M18" s="95">
        <f>N4*0.3+N8*0.4+N13*0.3</f>
        <v>0</v>
      </c>
    </row>
    <row r="19" ht="56.4" customHeight="1" spans="2:14">
      <c r="B19" s="62" t="s">
        <v>57</v>
      </c>
      <c r="C19" s="63"/>
      <c r="D19" s="63"/>
      <c r="E19" s="63"/>
      <c r="F19" s="63"/>
      <c r="G19" s="63"/>
      <c r="H19" s="63"/>
      <c r="I19" s="62" t="s">
        <v>58</v>
      </c>
      <c r="J19" s="63"/>
      <c r="K19" s="63"/>
      <c r="L19" s="63"/>
      <c r="M19" s="96"/>
    </row>
  </sheetData>
  <sheetProtection algorithmName="SHA-512" hashValue="mWA64LxtWDN0P+BMc4xG1L/XCwvh11O44cRP4xEM9cRFfm7ZPTJ7Ms7bTgwf9vguRbNFvNgc5tS58Tygcr/+jg==" saltValue="+zjkipVK1mrF0w49bBKJBA==" spinCount="100000" sheet="1" objects="1"/>
  <mergeCells count="23">
    <mergeCell ref="B1:M1"/>
    <mergeCell ref="B2:M2"/>
    <mergeCell ref="B7:L7"/>
    <mergeCell ref="B12:K12"/>
    <mergeCell ref="B18:L18"/>
    <mergeCell ref="B19:H19"/>
    <mergeCell ref="I19:M19"/>
    <mergeCell ref="B4:B6"/>
    <mergeCell ref="B8:B11"/>
    <mergeCell ref="B13:B17"/>
    <mergeCell ref="C9:C11"/>
    <mergeCell ref="D4:D6"/>
    <mergeCell ref="D8:D11"/>
    <mergeCell ref="D13:D17"/>
    <mergeCell ref="H4:H6"/>
    <mergeCell ref="H8:H11"/>
    <mergeCell ref="H13:H17"/>
    <mergeCell ref="L4:L6"/>
    <mergeCell ref="L8:L11"/>
    <mergeCell ref="L13:L17"/>
    <mergeCell ref="N4:N6"/>
    <mergeCell ref="N8:N11"/>
    <mergeCell ref="N13:N17"/>
  </mergeCells>
  <printOptions horizontalCentered="1" verticalCentered="1"/>
  <pageMargins left="0.0393700787401575" right="0.0393700787401575" top="0.196850393700787" bottom="0.196850393700787" header="0" footer="0"/>
  <pageSetup paperSize="9" scale="53" fitToWidth="0"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G8"/>
  <sheetViews>
    <sheetView workbookViewId="0">
      <selection activeCell="L20" sqref="L20"/>
    </sheetView>
  </sheetViews>
  <sheetFormatPr defaultColWidth="8.25" defaultRowHeight="16.8" outlineLevelRow="7" outlineLevelCol="6"/>
  <cols>
    <col min="1" max="1" width="4.41964285714286" customWidth="1"/>
    <col min="2" max="2" width="25.5" customWidth="1"/>
    <col min="3" max="3" width="7.5" customWidth="1"/>
    <col min="4" max="4" width="46.5" customWidth="1"/>
    <col min="5" max="6" width="9.5" customWidth="1"/>
    <col min="7" max="7" width="17.75" customWidth="1"/>
  </cols>
  <sheetData>
    <row r="1" customFormat="1" ht="38.15" customHeight="1" spans="2:7">
      <c r="B1" s="65" t="s">
        <v>4</v>
      </c>
      <c r="C1" s="65"/>
      <c r="D1" s="65"/>
      <c r="E1" s="65"/>
      <c r="F1" s="65"/>
      <c r="G1" s="65"/>
    </row>
    <row r="2" customFormat="1" ht="25.25" customHeight="1" spans="2:7">
      <c r="B2" s="66" t="s">
        <v>5</v>
      </c>
      <c r="C2" s="66"/>
      <c r="D2" s="66"/>
      <c r="E2" s="66"/>
      <c r="F2" s="66"/>
      <c r="G2" s="66"/>
    </row>
    <row r="3" customFormat="1" ht="28" customHeight="1" spans="2:7">
      <c r="B3" s="67" t="s">
        <v>6</v>
      </c>
      <c r="C3" s="67" t="s">
        <v>7</v>
      </c>
      <c r="D3" s="68" t="s">
        <v>8</v>
      </c>
      <c r="E3" s="68" t="s">
        <v>9</v>
      </c>
      <c r="F3" s="68" t="s">
        <v>10</v>
      </c>
      <c r="G3" s="68" t="s">
        <v>11</v>
      </c>
    </row>
    <row r="4" customFormat="1" ht="68.25" customHeight="1" spans="2:7">
      <c r="B4" s="69" t="s">
        <v>12</v>
      </c>
      <c r="C4" s="70">
        <v>0.3</v>
      </c>
      <c r="D4" s="66">
        <f>[1]知识产权岗明细!H4</f>
        <v>0</v>
      </c>
      <c r="E4" s="66"/>
      <c r="F4" s="66">
        <f>[1]知识产权岗明细!N4</f>
        <v>0</v>
      </c>
      <c r="G4" s="67">
        <f t="shared" ref="G4:G6" si="0">F4*C4</f>
        <v>0</v>
      </c>
    </row>
    <row r="5" customFormat="1" ht="61.25" customHeight="1" spans="2:7">
      <c r="B5" s="69" t="s">
        <v>13</v>
      </c>
      <c r="C5" s="70">
        <v>0.4</v>
      </c>
      <c r="D5" s="66">
        <f>[1]知识产权岗明细!H8</f>
        <v>0</v>
      </c>
      <c r="E5" s="66"/>
      <c r="F5" s="66">
        <f>[1]知识产权岗明细!N8</f>
        <v>0</v>
      </c>
      <c r="G5" s="67">
        <f t="shared" si="0"/>
        <v>0</v>
      </c>
    </row>
    <row r="6" customFormat="1" ht="54.75" customHeight="1" spans="2:7">
      <c r="B6" s="71" t="s">
        <v>14</v>
      </c>
      <c r="C6" s="70">
        <v>0.3</v>
      </c>
      <c r="D6" s="72">
        <f>[1]知识产权岗明细!H13</f>
        <v>0</v>
      </c>
      <c r="E6" s="72"/>
      <c r="F6" s="66">
        <f>[1]知识产权岗明细!N13</f>
        <v>0</v>
      </c>
      <c r="G6" s="67">
        <f t="shared" si="0"/>
        <v>0</v>
      </c>
    </row>
    <row r="7" customFormat="1" ht="22" customHeight="1" spans="2:7">
      <c r="B7" s="67" t="s">
        <v>15</v>
      </c>
      <c r="C7" s="67"/>
      <c r="D7" s="67"/>
      <c r="E7" s="67"/>
      <c r="F7" s="67"/>
      <c r="G7" s="67">
        <f>SUM(G4:G6)</f>
        <v>0</v>
      </c>
    </row>
    <row r="8" customFormat="1" ht="42.5" customHeight="1" spans="2:7">
      <c r="B8" s="73" t="s">
        <v>16</v>
      </c>
      <c r="C8" s="74"/>
      <c r="D8" s="73" t="s">
        <v>17</v>
      </c>
      <c r="E8" s="75"/>
      <c r="F8" s="75"/>
      <c r="G8" s="74"/>
    </row>
  </sheetData>
  <mergeCells count="5">
    <mergeCell ref="B1:G1"/>
    <mergeCell ref="B2:G2"/>
    <mergeCell ref="B7:F7"/>
    <mergeCell ref="B8:C8"/>
    <mergeCell ref="D8:G8"/>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R19"/>
  <sheetViews>
    <sheetView zoomScale="85" zoomScaleNormal="85" workbookViewId="0">
      <selection activeCell="J8" sqref="J8"/>
    </sheetView>
  </sheetViews>
  <sheetFormatPr defaultColWidth="8.25" defaultRowHeight="16.8"/>
  <cols>
    <col min="1" max="1" width="1.25" style="1" customWidth="1"/>
    <col min="2" max="2" width="7.91964285714286" style="1" customWidth="1"/>
    <col min="3" max="4" width="8.66964285714286" style="2" customWidth="1"/>
    <col min="5" max="5" width="16.4196428571429" style="3" customWidth="1"/>
    <col min="6" max="6" width="8.58035714285714" style="1" customWidth="1"/>
    <col min="7" max="7" width="7.25" style="1" customWidth="1"/>
    <col min="8" max="8" width="38.3303571428571" style="4" customWidth="1"/>
    <col min="9" max="9" width="74.6696428571429" style="1" customWidth="1"/>
    <col min="10" max="10" width="9.83035714285714" style="5" customWidth="1"/>
    <col min="11" max="12" width="10" style="6" customWidth="1"/>
    <col min="13" max="13" width="10.9196428571429" style="7" customWidth="1"/>
    <col min="14" max="14" width="13.5803571428571" customWidth="1"/>
    <col min="15" max="16384" width="8.25" style="1"/>
  </cols>
  <sheetData>
    <row r="1" s="1" customFormat="1" ht="19.2" spans="2:18">
      <c r="B1" s="8" t="s">
        <v>4</v>
      </c>
      <c r="C1" s="8"/>
      <c r="D1" s="8"/>
      <c r="E1" s="8"/>
      <c r="F1" s="8"/>
      <c r="G1" s="8"/>
      <c r="H1" s="9"/>
      <c r="I1" s="8"/>
      <c r="J1" s="8"/>
      <c r="K1" s="8"/>
      <c r="L1" s="8"/>
      <c r="M1" s="10"/>
      <c r="N1"/>
    </row>
    <row r="2" s="1" customFormat="1" ht="24" customHeight="1" spans="2:18">
      <c r="B2" s="11" t="s">
        <v>18</v>
      </c>
      <c r="C2" s="12"/>
      <c r="D2" s="12"/>
      <c r="E2" s="12"/>
      <c r="F2" s="11"/>
      <c r="G2" s="11"/>
      <c r="H2" s="13"/>
      <c r="I2" s="11"/>
      <c r="J2" s="11"/>
      <c r="K2" s="11"/>
      <c r="L2" s="11"/>
      <c r="M2" s="14"/>
      <c r="N2"/>
    </row>
    <row r="3" s="1" customFormat="1" ht="47" spans="2:18">
      <c r="B3" s="15" t="s">
        <v>6</v>
      </c>
      <c r="C3" s="15" t="s">
        <v>20</v>
      </c>
      <c r="D3" s="15" t="s">
        <v>19</v>
      </c>
      <c r="E3" s="16" t="s">
        <v>21</v>
      </c>
      <c r="F3" s="17" t="s">
        <v>7</v>
      </c>
      <c r="G3" s="17" t="s">
        <v>22</v>
      </c>
      <c r="H3" s="18" t="s">
        <v>8</v>
      </c>
      <c r="I3" s="15" t="s">
        <v>23</v>
      </c>
      <c r="J3" s="19" t="s">
        <v>24</v>
      </c>
      <c r="K3" s="20" t="s">
        <v>25</v>
      </c>
      <c r="L3" s="20" t="s">
        <v>59</v>
      </c>
      <c r="M3" s="21" t="s">
        <v>27</v>
      </c>
      <c r="N3" s="21" t="s">
        <v>15</v>
      </c>
    </row>
    <row r="4" s="1" customFormat="1" ht="118" customHeight="1" spans="2:18">
      <c r="B4" s="16" t="s">
        <v>28</v>
      </c>
      <c r="C4" s="22" t="s">
        <v>155</v>
      </c>
      <c r="D4" s="23">
        <v>1</v>
      </c>
      <c r="E4" s="22" t="s">
        <v>156</v>
      </c>
      <c r="F4" s="24">
        <v>0.4</v>
      </c>
      <c r="G4" s="25">
        <v>100</v>
      </c>
      <c r="H4" s="26"/>
      <c r="I4" s="27" t="s">
        <v>157</v>
      </c>
      <c r="J4" s="28"/>
      <c r="K4" s="29"/>
      <c r="L4" s="30"/>
      <c r="M4" s="31">
        <f>J4*0.1+K4*0.9</f>
        <v>0</v>
      </c>
      <c r="N4" s="32">
        <f>(M4*F4+M5*F5+M6*F6)*0.8+L4*0.2</f>
        <v>0</v>
      </c>
    </row>
    <row r="5" s="1" customFormat="1" ht="141" customHeight="1" spans="2:18">
      <c r="B5" s="16"/>
      <c r="C5" s="22" t="s">
        <v>158</v>
      </c>
      <c r="D5" s="33"/>
      <c r="E5" s="22" t="s">
        <v>159</v>
      </c>
      <c r="F5" s="24">
        <v>0.3</v>
      </c>
      <c r="G5" s="25">
        <v>100</v>
      </c>
      <c r="H5" s="34"/>
      <c r="I5" s="35" t="s">
        <v>160</v>
      </c>
      <c r="J5" s="36"/>
      <c r="K5" s="25"/>
      <c r="L5" s="37"/>
      <c r="M5" s="31">
        <f t="shared" ref="M4:M6" si="0">J5*0.1+K5*0.9</f>
        <v>0</v>
      </c>
      <c r="N5" s="32"/>
      <c r="P5" s="4"/>
      <c r="Q5" s="4"/>
      <c r="R5" s="4"/>
    </row>
    <row r="6" s="1" customFormat="1" ht="94" spans="2:18">
      <c r="B6" s="16"/>
      <c r="C6" s="22" t="s">
        <v>161</v>
      </c>
      <c r="D6" s="38"/>
      <c r="E6" s="22" t="s">
        <v>162</v>
      </c>
      <c r="F6" s="24">
        <v>0.3</v>
      </c>
      <c r="G6" s="25">
        <v>100</v>
      </c>
      <c r="H6" s="39"/>
      <c r="I6" s="35" t="s">
        <v>163</v>
      </c>
      <c r="J6" s="36"/>
      <c r="K6" s="29"/>
      <c r="L6" s="40"/>
      <c r="M6" s="31">
        <f t="shared" si="0"/>
        <v>0</v>
      </c>
      <c r="N6" s="32"/>
      <c r="P6" s="4"/>
      <c r="Q6" s="4"/>
      <c r="R6" s="4"/>
    </row>
    <row r="7" s="1" customFormat="1" ht="12" customHeight="1" spans="2:18">
      <c r="B7" s="41"/>
      <c r="C7" s="42"/>
      <c r="D7" s="42"/>
      <c r="E7" s="42"/>
      <c r="F7" s="42"/>
      <c r="G7" s="42"/>
      <c r="H7" s="42"/>
      <c r="I7" s="42"/>
      <c r="J7" s="42"/>
      <c r="K7" s="42"/>
      <c r="L7" s="43"/>
      <c r="M7" s="44"/>
      <c r="N7" s="45"/>
    </row>
    <row r="8" s="1" customFormat="1" ht="185" customHeight="1" spans="2:18">
      <c r="B8" s="46" t="s">
        <v>13</v>
      </c>
      <c r="C8" s="38" t="s">
        <v>69</v>
      </c>
      <c r="D8" s="47">
        <v>1</v>
      </c>
      <c r="E8" s="38" t="s">
        <v>70</v>
      </c>
      <c r="F8" s="48">
        <v>0.3</v>
      </c>
      <c r="G8" s="49">
        <v>100</v>
      </c>
      <c r="H8" s="34"/>
      <c r="I8" s="50" t="s">
        <v>71</v>
      </c>
      <c r="J8" s="51"/>
      <c r="K8" s="40"/>
      <c r="L8" s="37"/>
      <c r="M8" s="31">
        <f t="shared" ref="M8:M11" si="1">J8*0.1+K8*0.9</f>
        <v>0</v>
      </c>
      <c r="N8" s="32">
        <f>(M8*F8+M9*F9+M10*F10+F11*M11)*0.8+L8*0.2</f>
        <v>0</v>
      </c>
    </row>
    <row r="9" s="1" customFormat="1" ht="78" spans="2:18">
      <c r="B9" s="46"/>
      <c r="C9" s="22" t="s">
        <v>72</v>
      </c>
      <c r="D9" s="33"/>
      <c r="E9" s="22" t="s">
        <v>73</v>
      </c>
      <c r="F9" s="24">
        <v>0.2</v>
      </c>
      <c r="G9" s="25">
        <v>100</v>
      </c>
      <c r="H9" s="34"/>
      <c r="I9" s="27" t="s">
        <v>74</v>
      </c>
      <c r="J9" s="52"/>
      <c r="K9" s="29"/>
      <c r="L9" s="37"/>
      <c r="M9" s="31">
        <f t="shared" si="1"/>
        <v>0</v>
      </c>
      <c r="N9" s="32"/>
    </row>
    <row r="10" s="1" customFormat="1" ht="136" customHeight="1" spans="2:18">
      <c r="B10" s="46"/>
      <c r="C10" s="22"/>
      <c r="D10" s="33"/>
      <c r="E10" s="22" t="s">
        <v>75</v>
      </c>
      <c r="F10" s="24">
        <v>0.3</v>
      </c>
      <c r="G10" s="25">
        <v>100</v>
      </c>
      <c r="H10" s="34"/>
      <c r="I10" s="27" t="s">
        <v>76</v>
      </c>
      <c r="J10" s="52"/>
      <c r="K10" s="29"/>
      <c r="L10" s="37"/>
      <c r="M10" s="31">
        <f t="shared" si="1"/>
        <v>0</v>
      </c>
      <c r="N10" s="32"/>
    </row>
    <row r="11" s="1" customFormat="1" ht="83" customHeight="1" spans="2:18">
      <c r="B11" s="46"/>
      <c r="C11" s="53"/>
      <c r="D11" s="33"/>
      <c r="E11" s="53" t="s">
        <v>77</v>
      </c>
      <c r="F11" s="54">
        <v>0.2</v>
      </c>
      <c r="G11" s="55">
        <v>100</v>
      </c>
      <c r="H11" s="34"/>
      <c r="I11" s="56" t="s">
        <v>78</v>
      </c>
      <c r="J11" s="57"/>
      <c r="K11" s="30"/>
      <c r="L11" s="37"/>
      <c r="M11" s="31">
        <f t="shared" si="1"/>
        <v>0</v>
      </c>
      <c r="N11" s="32"/>
      <c r="P11" s="4"/>
      <c r="Q11" s="4"/>
      <c r="R11" s="4"/>
    </row>
    <row r="12" s="1" customFormat="1" ht="14" customHeight="1" spans="2:18">
      <c r="B12" s="41"/>
      <c r="C12" s="42"/>
      <c r="D12" s="42"/>
      <c r="E12" s="42"/>
      <c r="F12" s="42"/>
      <c r="G12" s="42"/>
      <c r="H12" s="42"/>
      <c r="I12" s="42"/>
      <c r="J12" s="42"/>
      <c r="K12" s="43"/>
      <c r="L12" s="43"/>
      <c r="M12" s="44"/>
      <c r="N12" s="45"/>
    </row>
    <row r="13" s="1" customFormat="1" ht="118" customHeight="1" spans="2:18">
      <c r="B13" s="16" t="s">
        <v>47</v>
      </c>
      <c r="C13" s="25" t="s">
        <v>79</v>
      </c>
      <c r="D13" s="54">
        <v>1</v>
      </c>
      <c r="E13" s="22" t="s">
        <v>80</v>
      </c>
      <c r="F13" s="24">
        <v>0.2</v>
      </c>
      <c r="G13" s="25">
        <v>100</v>
      </c>
      <c r="H13" s="58"/>
      <c r="I13" s="27" t="s">
        <v>81</v>
      </c>
      <c r="J13" s="52"/>
      <c r="K13" s="29"/>
      <c r="L13" s="29"/>
      <c r="M13" s="31">
        <f t="shared" ref="M13:M17" si="2">J13*0.1+K13*0.9</f>
        <v>0</v>
      </c>
      <c r="N13" s="32">
        <f>(M13*F13+M14*F14+M15*F15+M16*F16+M17*F17)*0.8+L13*0.2</f>
        <v>0</v>
      </c>
    </row>
    <row r="14" s="1" customFormat="1" ht="153" customHeight="1" spans="2:18">
      <c r="B14" s="16"/>
      <c r="C14" s="25" t="s">
        <v>82</v>
      </c>
      <c r="D14" s="59"/>
      <c r="E14" s="22" t="s">
        <v>164</v>
      </c>
      <c r="F14" s="60">
        <v>0.2</v>
      </c>
      <c r="G14" s="25">
        <v>100</v>
      </c>
      <c r="H14" s="58"/>
      <c r="I14" s="58" t="s">
        <v>84</v>
      </c>
      <c r="J14" s="22"/>
      <c r="K14" s="22"/>
      <c r="L14" s="29"/>
      <c r="M14" s="31">
        <f t="shared" si="2"/>
        <v>0</v>
      </c>
      <c r="N14" s="32"/>
    </row>
    <row r="15" s="1" customFormat="1" ht="133" customHeight="1" spans="2:18">
      <c r="B15" s="16"/>
      <c r="C15" s="25" t="s">
        <v>85</v>
      </c>
      <c r="D15" s="59"/>
      <c r="E15" s="22" t="s">
        <v>86</v>
      </c>
      <c r="F15" s="60">
        <v>0.2</v>
      </c>
      <c r="G15" s="25">
        <v>100</v>
      </c>
      <c r="H15" s="58"/>
      <c r="I15" s="58" t="s">
        <v>87</v>
      </c>
      <c r="J15" s="22"/>
      <c r="K15" s="22"/>
      <c r="L15" s="29"/>
      <c r="M15" s="31">
        <f t="shared" si="2"/>
        <v>0</v>
      </c>
      <c r="N15" s="32"/>
    </row>
    <row r="16" s="1" customFormat="1" ht="146" customHeight="1" spans="2:18">
      <c r="B16" s="16"/>
      <c r="C16" s="25" t="s">
        <v>88</v>
      </c>
      <c r="D16" s="59"/>
      <c r="E16" s="22" t="s">
        <v>89</v>
      </c>
      <c r="F16" s="60">
        <v>0.2</v>
      </c>
      <c r="G16" s="25">
        <v>100</v>
      </c>
      <c r="H16" s="58"/>
      <c r="I16" s="58" t="s">
        <v>90</v>
      </c>
      <c r="J16" s="22"/>
      <c r="K16" s="22"/>
      <c r="L16" s="29"/>
      <c r="M16" s="31">
        <f t="shared" si="2"/>
        <v>0</v>
      </c>
      <c r="N16" s="32"/>
    </row>
    <row r="17" s="1" customFormat="1" ht="175" customHeight="1" spans="2:14">
      <c r="B17" s="16"/>
      <c r="C17" s="25" t="s">
        <v>91</v>
      </c>
      <c r="D17" s="49"/>
      <c r="E17" s="22" t="s">
        <v>92</v>
      </c>
      <c r="F17" s="60">
        <v>0.2</v>
      </c>
      <c r="G17" s="25">
        <v>100</v>
      </c>
      <c r="H17" s="58"/>
      <c r="I17" s="58" t="s">
        <v>93</v>
      </c>
      <c r="J17" s="22"/>
      <c r="K17" s="22"/>
      <c r="L17" s="29"/>
      <c r="M17" s="31">
        <f t="shared" si="2"/>
        <v>0</v>
      </c>
      <c r="N17" s="32"/>
    </row>
    <row r="18" s="1" customFormat="1" ht="35.4" customHeight="1" spans="2:14">
      <c r="B18" s="22" t="s">
        <v>15</v>
      </c>
      <c r="C18" s="22"/>
      <c r="D18" s="22"/>
      <c r="E18" s="22"/>
      <c r="F18" s="22"/>
      <c r="G18" s="22"/>
      <c r="H18" s="22"/>
      <c r="I18" s="22"/>
      <c r="J18" s="22"/>
      <c r="K18" s="22"/>
      <c r="L18" s="22"/>
      <c r="M18" s="61">
        <f>N4*0.3+N8*0.4+N13*0.3</f>
        <v>0</v>
      </c>
      <c r="N18"/>
    </row>
    <row r="19" s="1" customFormat="1" ht="56.4" customHeight="1" spans="2:14">
      <c r="B19" s="62" t="s">
        <v>57</v>
      </c>
      <c r="C19" s="63"/>
      <c r="D19" s="63"/>
      <c r="E19" s="63"/>
      <c r="F19" s="63"/>
      <c r="G19" s="63"/>
      <c r="H19" s="63"/>
      <c r="I19" s="62" t="s">
        <v>58</v>
      </c>
      <c r="J19" s="63"/>
      <c r="K19" s="63"/>
      <c r="L19" s="63"/>
      <c r="M19" s="64"/>
      <c r="N19"/>
    </row>
  </sheetData>
  <mergeCells count="23">
    <mergeCell ref="B1:M1"/>
    <mergeCell ref="B2:M2"/>
    <mergeCell ref="B7:L7"/>
    <mergeCell ref="B12:K12"/>
    <mergeCell ref="B18:L18"/>
    <mergeCell ref="B19:H19"/>
    <mergeCell ref="I19:M19"/>
    <mergeCell ref="B4:B6"/>
    <mergeCell ref="B8:B11"/>
    <mergeCell ref="B13:B17"/>
    <mergeCell ref="C9:C11"/>
    <mergeCell ref="D4:D6"/>
    <mergeCell ref="D8:D11"/>
    <mergeCell ref="D13:D17"/>
    <mergeCell ref="H4:H6"/>
    <mergeCell ref="H8:H11"/>
    <mergeCell ref="H13:H17"/>
    <mergeCell ref="L4:L6"/>
    <mergeCell ref="L8:L11"/>
    <mergeCell ref="L13:L17"/>
    <mergeCell ref="N4:N6"/>
    <mergeCell ref="N8:N11"/>
    <mergeCell ref="N13:N17"/>
  </mergeCell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9" master="" otherUserPermission="visible"/>
  <rangeList sheetStid="11" master="" otherUserPermission="visible"/>
  <rangeList sheetStid="13" master="" otherUserPermission="visible">
    <arrUserId title="区域2" rangeCreator="" othersAccessPermission="edit"/>
  </rangeList>
  <rangeList sheetStid="12" master="" otherUserPermission="visible"/>
  <rangeList sheetStid="3" master="" otherUserPermission="visible"/>
  <rangeList sheetStid="14" master="" otherUserPermission="visible"/>
  <rangeList sheetStid="5" master="" otherUserPermission="visible"/>
  <rangeList sheetStid="15" master="" otherUserPermission="visible"/>
  <rangeList sheetStid="6" master="" otherUserPermission="visible"/>
  <rangeList sheetStid="16" master="" otherUserPermission="visible"/>
  <rangeList sheetStid="7" master="" otherUserPermission="visible"/>
  <rangeList sheetStid="17" master="" otherUserPermission="visible"/>
  <rangeList sheetStid="8" master="" otherUserPermission="visible"/>
  <rangeList sheetStid="23" master="" otherUserPermission="visible"/>
  <rangeList sheetStid="22" master="" otherUserPermission="visible"/>
  <rangeList sheetStid="24" master="" otherUserPermission="visible"/>
  <rangeList sheetStid="25"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17</vt:i4>
      </vt:variant>
    </vt:vector>
  </HeadingPairs>
  <TitlesOfParts>
    <vt:vector size="17" baseType="lpstr">
      <vt:lpstr>填写说明</vt:lpstr>
      <vt:lpstr>部门负责人</vt:lpstr>
      <vt:lpstr>部门负责人明细</vt:lpstr>
      <vt:lpstr>产品岗</vt:lpstr>
      <vt:lpstr>产品岗明细</vt:lpstr>
      <vt:lpstr>研发岗</vt:lpstr>
      <vt:lpstr>研发岗明细</vt:lpstr>
      <vt:lpstr>测试岗</vt:lpstr>
      <vt:lpstr>测试岗明细</vt:lpstr>
      <vt:lpstr>安全运维岗</vt:lpstr>
      <vt:lpstr>安全运维岗明细</vt:lpstr>
      <vt:lpstr>设计岗</vt:lpstr>
      <vt:lpstr>设计岗明细</vt:lpstr>
      <vt:lpstr>项管岗</vt:lpstr>
      <vt:lpstr>项管岗明细</vt:lpstr>
      <vt:lpstr>知识产权岗</vt:lpstr>
      <vt:lpstr>知识产权岗明细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开宇 方</dc:creator>
  <cp:lastModifiedBy>愚公</cp:lastModifiedBy>
  <dcterms:created xsi:type="dcterms:W3CDTF">2025-03-12T22:09:00Z</dcterms:created>
  <cp:lastPrinted>2025-03-18T21:35:00Z</cp:lastPrinted>
  <dcterms:modified xsi:type="dcterms:W3CDTF">2026-10-15T15:44:25Z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7C2ABBD0C346E299E97FD06A2F46BD65_43</vt:lpwstr>
  </property>
  <property fmtid="{D5CDD505-2E9C-101B-9397-08002B2CF9AE}" pid="3" name="KSOProductBuildVer">
    <vt:lpwstr>2052-12.1.28496.28496</vt:lpwstr>
  </property>
  <property fmtid="{D5CDD505-2E9C-101B-9397-08002B2CF9AE}" pid="4" name="CalculationRule">
    <vt:i4>0</vt:i4>
  </property>
</Properties>
</file>