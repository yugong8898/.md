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研发岗" sheetId="14" r:id="rId1"/>
    <sheet name="研发岗明细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<sst xmlns="http://schemas.openxmlformats.org/spreadsheetml/2006/main" count="72" uniqueCount="65">
  <si>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季度绩效评价表</t>
  </si>
  <si>
    <t xml:space="preserve">姓名： 王新骏          岗位：   高级前端开发                  部门：    物流服务交付事业群/业务平台事业部/前端部/结算前端组                       </t>
  </si>
  <si>
    <t>评价维度</t>
  </si>
  <si>
    <t>权重（%）</t>
  </si>
  <si>
    <t>成果总结</t>
  </si>
  <si>
    <t>自评</t>
  </si>
  <si>
    <t>上级评分</t>
  </si>
  <si>
    <t>最终得分
（上级评分*权重）</t>
  </si>
  <si>
    <t>本部门重点项目贡献</t>
  </si>
  <si>
    <t>岗位核心职责完成情况</t>
  </si>
  <si>
    <t>价值观及行为（包括但不限于团队协作、扛责担当、客户导向、人才发展（包括带教新人、知识传承、自我学习与提升）等）</t>
  </si>
  <si>
    <t>总分</t>
  </si>
  <si>
    <t>员工签字：
签字日期：</t>
  </si>
  <si>
    <t>直接上级签字：
签字日期：</t>
  </si>
  <si>
    <t xml:space="preserve">              姓名：  王新骏                                                        岗位： 高级前端开发                                                          部门：物流服务交付事业群/业务平台事业部/前端部/结算前端组</t>
  </si>
  <si>
    <t>绩效指标</t>
  </si>
  <si>
    <t>整体权重</t>
  </si>
  <si>
    <t>指标定义/说明</t>
  </si>
  <si>
    <t>目标值</t>
  </si>
  <si>
    <t>评分标准</t>
  </si>
  <si>
    <t>自评
（百分制）</t>
  </si>
  <si>
    <t>上级评分（百分制）</t>
  </si>
  <si>
    <t>部门评分</t>
  </si>
  <si>
    <t>得分</t>
  </si>
  <si>
    <t xml:space="preserve">本部门重点项目贡献
</t>
  </si>
  <si>
    <t>项目/任务指标</t>
  </si>
  <si>
    <t>工作任务按计划、交付标准完成率</t>
  </si>
  <si>
    <t>任务完成率：承接需求迭代、问题修复等任务共 40 余项，覆盖 3PL 结算平台（logisticsweb）、4PL 管理后台（platformweb）、货主端 APP（wlyd-app-consigner）等业务线，整体任务按计划完成率达 95% 以上，个别项因需求变更调整后仍按期交付。
交付质量：所有上线需求均通过测试验证，未出现线上重大缺陷及用户体验问题，项目整体交付达成率 100%，保障系统稳定运行。</t>
  </si>
  <si>
    <t>满分100：包含以下二项内容：
（一）工作任务完成率满分70
1、工作任务按计划完成率大于90% 60-70
2、工作任务按计划完成率 80%-90% 50-59
3、工作任务按计划完成率 70%-80%  40-49
4、工作任务按计划完成率 小于70%  40以下
（二）工作质量 满分30分，每个重大缺陷扣10分
大于3次重大缺陷时，（一）（二）两项均记为0分</t>
  </si>
  <si>
    <t>任务所属项目按计划、交付标准达成率</t>
  </si>
  <si>
    <t>1、项目按时保质交付上线90-100
2、项目交付时间每次延迟时间小于10%扣5分，大于10%以上扣10分
说明：因新增，变更需求（PCR通过审核），按调整后的项目完成时间为准</t>
  </si>
  <si>
    <t>交付质量</t>
  </si>
  <si>
    <t>用户体验、生产问题</t>
  </si>
  <si>
    <t>无生产事故及核心用户体验问题，上线后系统运行稳定
提测后无重大 Bug，每次提测前均进行自测与 ESLint 校验
需求改动同步维护改动清单与接口说明文档，技术文档完整准确
严格遵循产研部发布的工作流程与规范，全流程合规度 100%</t>
  </si>
  <si>
    <t>交付质量，满分100
无生产问题，无用户体验问题，90-100分；
不构成生产问题，但对用户体验有影响，80-89分；
造成关键功能、数据影响，但快速修复，60-79分；
造成生产线事故，60分以下</t>
  </si>
  <si>
    <t>专业技术指标</t>
  </si>
  <si>
    <t>代码缺陷率，依据任务提测后的测试组提交的缺陷数量</t>
  </si>
  <si>
    <t>满分100，超过目标值一个，至少扣10分，出现重大bug，至少扣20分</t>
  </si>
  <si>
    <t>技术文档（设计、接口文档\测试用例）的完整、有效、正确编制</t>
  </si>
  <si>
    <t>满分100，每次不符合要求，至少扣5分</t>
  </si>
  <si>
    <t>流程规范</t>
  </si>
  <si>
    <t>工作流程、规范符合度</t>
  </si>
  <si>
    <t>依据产研部发布的《工作流程、规范》要求，每次不符合规范流程，以规范中的扣分标准执行；规范中未明确的情况，根据实际情况补充发布的规范扣分</t>
  </si>
  <si>
    <t>价值观及行为</t>
  </si>
  <si>
    <t>责任心与协作</t>
  </si>
  <si>
    <t>工作职责与分工、高效协作、执行力、主动性</t>
  </si>
  <si>
    <t>责任心与协作：积极主动承接各项任务，与产品、测试、后端同事紧密协作，主动同步进度、对齐风险，保障跨端联调与上线流程顺畅
主动思考与沟通：独立思考需求实现方案，主动与业务方沟通，逻辑清晰，能快速对齐认知并推动问题解决
团队协作：主动配合团队安排，分享前端开发规范、接口文档梳理等经验
扛责担当：面对线上问题主动承担责任，积极推动定位与解决，不回避挑战，以务实态度保障项目进度
人才发展：保持基础学习行为，配合输出接口文档、改动清单、开发总结等知识内容</t>
  </si>
  <si>
    <t>1、积极主动执行工作任务并主动做好团队成员间的协同分工，工作执行效果经常超出上级预期（90-100分）
2、按上级要求执行安排的工作任务，可以与团队成员做好协作分工，工作执行效果符合预期（80-89分）
3、未完全按上级要求执行工作任务，团队协作分工中表现一般，偶尔还需要在领导的指导下才可完成任务或偶尔不能完成任务（70-79分）
4、未完全按上级要求执行工作任务，团队协作性较差，需在领导的多次指导下才可完成或经常性的完不成任务（60-69分）
5、完全不按照上级的要求执行工作任务，完全没有团队协作意识，工作任务完成质量差或总是的不成任务（60分以下）</t>
  </si>
  <si>
    <t>主动思考与沟通</t>
  </si>
  <si>
    <t>主动思考工作内容、方法；
主动与工作对象沟通</t>
  </si>
  <si>
    <t>1、独立主动思考问题解决办法，主动与工作伙伴进行沟通，沟通简明扼要，易于理解；（90-100分）
2、在上级的指引下才能思考出问题的解决办法，与工作伙伴基于工作任务的正常沟通，重点突出，较容易理解；（80-89分）
3、需要上级较多的指引共同思考问题的解决办法，与工作伙伴只是基于工作问题的沟通，沟通效果一般，需要重复说明，对方才能明白；（70-79分）
4、需要上级较多的指引共同思考问题的解决办法，与工作伙伴沟通较少，语言组织欠清晰，但尚能表达出意图，有时需要反复解释；（60-69分）
5、不能独立思考问题的解决办法，与工作伙伴沟通较少，口头表达含糊其辞，根本表达不清（60分以下）
根据员工思考问题及沟通方面的表现综合评分</t>
  </si>
  <si>
    <t>团队协作</t>
  </si>
  <si>
    <t>主动配合团队工作、分享产品经验 / 知识（如内部分享、案例输出）、协助同事解决工作难题的表现</t>
  </si>
  <si>
    <t>1：主动发起团队协作，高频分享有价值经验，积极协助同事解决复杂难题，成为团队协作核心角色（90-100分）
2：积极配合团队安排，主动分享经验，能协助同事解决常规难题，无协作推诿情况（80-89分）
3：配合团队基础协作要求，偶尔分享经验，同事求助时能提供基础协助，无明显协作问题（70-79分）
4：被动参与协作，较少分享经验，同事求助时响应消极，存在轻微协作推诿（60-69 分）
5：拒绝配合团队协作，不分享经验，回避同事求助，严重影响团队协作效率（60分以下）</t>
  </si>
  <si>
    <t>扛责担当</t>
  </si>
  <si>
    <t>面对工作问题（如需求偏差、项目风险）的态度，及关键任务的承接表现</t>
  </si>
  <si>
    <t>1：主动发现并承担问题责任，积极推动解决方案，主动争抢关键 / 困难任务，不回避挑战（90-100分）
2：不推诿已发现的问题责任，能配合推动解决，关键任务安排后能积极承接，不抱怨（80-89分）
3：不主动承担额外责任，但自身负责范围内的问题不推诿，关键任务安排后能接受，无明显抵触（70-79分）
4：自身负责范围内的问题偶尔推诿，关键任务安排后被动接受，存在抱怨情绪（60-69 分）
5：频繁推诿各类问题责任，拒绝承接关键任务，回避工作挑战，影响任务推进（60分以下）</t>
  </si>
  <si>
    <t>客户导向</t>
  </si>
  <si>
    <t>关注业务方 / 用户需求，及基于反馈优化工作的表现</t>
  </si>
  <si>
    <t>1：主动高频对接客户获取反馈，深度分析需求痛点，主动推动基于反馈的产品优化，获得客户高度认可（90-100分）
2：定期对接客户获取反馈，能分析反馈并推动基础优化，客户无负面评价（80-89分）
3：按要求对接客户获取反馈，能响应反馈并做简单调整，客户无明显负面评价（70-79分）
4：需提醒才对接客户，反馈收集不完整，仅部分响应反馈，客户存在轻微负面评价（60-69 分）
5. 拒绝对接客户，不收集反馈，无视客户需求，客户存在严重负面评价（60分以下）</t>
  </si>
  <si>
    <t>人才发展</t>
  </si>
  <si>
    <t>带教新人、自我学习提升、知识传承的综合表现</t>
  </si>
  <si>
    <t>1：主动带教新人并帮助其快速成长，自主规划高频学习（如课程、行业研究），主动输出高质量知识文档，成为团队学习 / 传承标杆（90-100分）
2：按要求带教新人并帮助其达标，有固定学习计划（如定期课程），按要求输出知识文档，无明显不足（80-89分）
3：带教新人时能解答疑问，有基础学习行为，能配合输出简单知识文档，基本达标（70-79分）
4：带教新人时敷衍解答，学习行为零散无计划，知识文档需多次催促才输出，质量较差（60-69 分）
5：拒绝带教新人，无学习行为，不输出知识文档，阻碍团队人才发展 / 知识传承（60分以下）</t>
  </si>
  <si>
    <t>员工签字： 
签字日期：</t>
  </si>
  <si>
    <t>直接上级签字：
签字日期：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</si>
</sst>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  <numFmt numFmtId="178" formatCode="0_);[Red]\(0\)"/>
  </numFmts>
  <fonts count="3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6"/>
      <color rgb="FF000000"/>
      <name val="仿宋_GB2312"/>
      <charset val="134"/>
    </font>
    <font>
      <sz val="9"/>
      <color rgb="FF000000"/>
      <name val="仿宋_GB2312"/>
      <charset val="134"/>
    </font>
    <font>
      <sz val="9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Protection="1">
      <alignment vertical="center"/>
      <protection locked="0"/>
    </xf>
    <xf numFmtId="0" fontId="1" fillId="0" borderId="0" xfId="49" applyFont="1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76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7" fontId="4" fillId="2" borderId="2" xfId="0" applyNumberFormat="1" applyFont="1" applyFill="1" applyBorder="1" applyAlignment="1" applyProtection="1">
      <alignment horizontal="center" vertical="center" wrapText="1"/>
      <protection locked="0"/>
    </xf>
    <xf numFmtId="177" fontId="4" fillId="2" borderId="2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9" fontId="1" fillId="0" borderId="3" xfId="0" applyNumberFormat="1" applyFont="1" applyBorder="1" applyAlignment="1" applyProtection="1">
      <alignment horizontal="center" vertical="center" wrapText="1"/>
      <protection locked="0"/>
    </xf>
    <xf numFmtId="9" fontId="1" fillId="0" borderId="2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177" fontId="6" fillId="0" borderId="2" xfId="0" applyNumberFormat="1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9" fontId="7" fillId="0" borderId="3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vertical="center" wrapText="1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9" fontId="1" fillId="0" borderId="4" xfId="0" applyNumberFormat="1" applyFont="1" applyBorder="1" applyAlignment="1" applyProtection="1">
      <alignment horizontal="center" vertical="center" wrapText="1"/>
      <protection locked="0"/>
    </xf>
    <xf numFmtId="9" fontId="1" fillId="0" borderId="5" xfId="0" applyNumberFormat="1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justify" vertical="center" wrapText="1"/>
      <protection locked="0"/>
    </xf>
    <xf numFmtId="9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178" fontId="1" fillId="0" borderId="5" xfId="0" applyNumberFormat="1" applyFont="1" applyBorder="1" applyAlignment="1" applyProtection="1">
      <alignment horizontal="center" vertical="center"/>
      <protection locked="0"/>
    </xf>
    <xf numFmtId="178" fontId="1" fillId="0" borderId="4" xfId="0" applyNumberFormat="1" applyFont="1" applyBorder="1" applyAlignment="1" applyProtection="1">
      <alignment horizontal="center" vertical="center"/>
      <protection locked="0"/>
    </xf>
    <xf numFmtId="178" fontId="1" fillId="0" borderId="2" xfId="0" applyNumberFormat="1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vertical="center" wrapText="1"/>
      <protection locked="0"/>
    </xf>
    <xf numFmtId="9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  <protection locked="0"/>
    </xf>
    <xf numFmtId="0" fontId="1" fillId="0" borderId="6" xfId="49" applyFont="1" applyBorder="1" applyAlignment="1" applyProtection="1">
      <alignment horizontal="center" vertical="center" wrapText="1"/>
      <protection locked="0"/>
    </xf>
    <xf numFmtId="0" fontId="1" fillId="0" borderId="7" xfId="49" applyFont="1" applyBorder="1" applyAlignment="1" applyProtection="1">
      <alignment horizontal="center" vertical="center" wrapText="1"/>
      <protection locked="0"/>
    </xf>
    <xf numFmtId="0" fontId="1" fillId="0" borderId="8" xfId="49" applyFont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/>
    </xf>
    <xf numFmtId="0" fontId="1" fillId="0" borderId="0" xfId="49" applyFont="1" applyProtection="1">
      <alignment vertical="center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9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8"/>
  <sheetViews>
    <sheetView zoomScale="149" zoomScaleNormal="149" topLeftCell="B1" workbookViewId="0">
      <selection activeCell="G5" sqref="G5"/>
    </sheetView>
  </sheetViews>
  <sheetFormatPr defaultColWidth="8.25" defaultRowHeight="16.8" outlineLevelRow="7" outlineLevelCol="6"/>
  <cols>
    <col min="1" max="1" width="4.40178571428571" customWidth="1"/>
    <col min="2" max="2" width="25.4821428571429" customWidth="1"/>
    <col min="3" max="3" width="7.51785714285714" customWidth="1"/>
    <col min="4" max="4" width="46.4732142857143" customWidth="1"/>
    <col min="5" max="6" width="9.53571428571429" style="66" customWidth="1"/>
    <col min="7" max="7" width="17.7857142857143" style="66" customWidth="1"/>
  </cols>
  <sheetData>
    <row r="1" customFormat="1" ht="38.15" customHeight="1" spans="2:7">
      <c r="B1" s="67" t="s">
        <v>0</v>
      </c>
      <c r="C1" s="67"/>
      <c r="D1" s="67"/>
      <c r="E1" s="67"/>
      <c r="F1" s="67"/>
      <c r="G1" s="67"/>
    </row>
    <row r="2" customFormat="1" ht="25.25" customHeight="1" spans="2:7">
      <c r="B2" s="68" t="s">
        <v>1</v>
      </c>
      <c r="C2" s="68"/>
      <c r="D2" s="68"/>
      <c r="E2" s="69"/>
      <c r="F2" s="69"/>
      <c r="G2" s="69"/>
    </row>
    <row r="3" customFormat="1" ht="27.95" customHeight="1" spans="2:7">
      <c r="B3" s="69" t="s">
        <v>2</v>
      </c>
      <c r="C3" s="69" t="s">
        <v>3</v>
      </c>
      <c r="D3" s="70" t="s">
        <v>4</v>
      </c>
      <c r="E3" s="70" t="s">
        <v>5</v>
      </c>
      <c r="F3" s="70" t="s">
        <v>6</v>
      </c>
      <c r="G3" s="70" t="s">
        <v>7</v>
      </c>
    </row>
    <row r="4" customFormat="1" ht="68.25" customHeight="1" spans="2:7">
      <c r="B4" s="71" t="s">
        <v>8</v>
      </c>
      <c r="C4" s="72">
        <v>0.3</v>
      </c>
      <c r="D4" s="68" t="str">
        <f>研发岗明细!H4</f>
        <v>任务完成率：承接需求迭代、问题修复等任务共 40 余项，覆盖 3PL 结算平台（logisticsweb）、4PL 管理后台（platformweb）、货主端 APP（wlyd-app-consigner）等业务线，整体任务按计划完成率达 95% 以上，个别项因需求变更调整后仍按期交付。
交付质量：所有上线需求均通过测试验证，未出现线上重大缺陷及用户体验问题，项目整体交付达成率 100%，保障系统稳定运行。</v>
      </c>
      <c r="E4" s="69">
        <v>96</v>
      </c>
      <c r="F4" s="69">
        <f>研发岗明细!N4</f>
        <v>7.2</v>
      </c>
      <c r="G4" s="69">
        <f t="shared" ref="G4:G6" si="0">F4*C4</f>
        <v>2.16</v>
      </c>
    </row>
    <row r="5" customFormat="1" ht="61.25" customHeight="1" spans="2:7">
      <c r="B5" s="71" t="s">
        <v>9</v>
      </c>
      <c r="C5" s="72">
        <v>0.4</v>
      </c>
      <c r="D5" s="68" t="str">
        <f>研发岗明细!H7</f>
        <v>无生产事故及核心用户体验问题，上线后系统运行稳定
提测后无重大 Bug，每次提测前均进行自测与 ESLint 校验
需求改动同步维护改动清单与接口说明文档，技术文档完整准确
严格遵循产研部发布的工作流程与规范，全流程合规度 100%</v>
      </c>
      <c r="E5" s="69">
        <v>96</v>
      </c>
      <c r="F5" s="69">
        <f>研发岗明细!N7</f>
        <v>7.2</v>
      </c>
      <c r="G5" s="69">
        <f t="shared" si="0"/>
        <v>2.88</v>
      </c>
    </row>
    <row r="6" customFormat="1" ht="54.8" customHeight="1" spans="2:7">
      <c r="B6" s="73" t="s">
        <v>10</v>
      </c>
      <c r="C6" s="72">
        <v>0.3</v>
      </c>
      <c r="D6" s="74" t="str">
        <f>研发岗明细!H12</f>
        <v>责任心与协作：积极主动承接各项任务，与产品、测试、后端同事紧密协作，主动同步进度、对齐风险，保障跨端联调与上线流程顺畅
主动思考与沟通：独立思考需求实现方案，主动与业务方沟通，逻辑清晰，能快速对齐认知并推动问题解决
团队协作：主动配合团队安排，分享前端开发规范、接口文档梳理等经验
扛责担当：面对线上问题主动承担责任，积极推动定位与解决，不回避挑战，以务实态度保障项目进度
人才发展：保持基础学习行为，配合输出接口文档、改动清单、开发总结等知识内容</v>
      </c>
      <c r="E6" s="70">
        <v>95</v>
      </c>
      <c r="F6" s="69">
        <f>研发岗明细!N12</f>
        <v>7.12</v>
      </c>
      <c r="G6" s="69">
        <f t="shared" si="0"/>
        <v>2.136</v>
      </c>
    </row>
    <row r="7" customFormat="1" ht="22.05" customHeight="1" spans="2:7">
      <c r="B7" s="69" t="s">
        <v>11</v>
      </c>
      <c r="C7" s="69"/>
      <c r="D7" s="69"/>
      <c r="E7" s="69"/>
      <c r="F7" s="69"/>
      <c r="G7" s="69">
        <f>SUM(G4:G6)</f>
        <v>7.176</v>
      </c>
    </row>
    <row r="8" customFormat="1" ht="42.45" customHeight="1" spans="2:7">
      <c r="B8" s="75" t="s">
        <v>12</v>
      </c>
      <c r="C8" s="76"/>
      <c r="D8" s="75" t="s">
        <v>13</v>
      </c>
      <c r="E8" s="77"/>
      <c r="F8" s="77"/>
      <c r="G8" s="78"/>
    </row>
  </sheetData>
  <mergeCells count="5">
    <mergeCell ref="B1:G1"/>
    <mergeCell ref="B2:G2"/>
    <mergeCell ref="B7:F7"/>
    <mergeCell ref="B8:C8"/>
    <mergeCell ref="D8:G8"/>
  </mergeCells>
  <pageMargins left="0.75" right="0.75" top="1" bottom="1" header="0.5" footer="0.5"/>
  <pageSetup paperSize="9" scale="71" fitToWidth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19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H4" sqref="H4:H5"/>
    </sheetView>
  </sheetViews>
  <sheetFormatPr defaultColWidth="8.25" defaultRowHeight="16.8"/>
  <cols>
    <col min="1" max="1" width="1.91964285714286" style="1" customWidth="1"/>
    <col min="2" max="2" width="9.16964285714286" style="3" customWidth="1"/>
    <col min="3" max="3" width="8.83035714285714" style="3" customWidth="1"/>
    <col min="4" max="4" width="8.58035714285714" style="3" customWidth="1"/>
    <col min="5" max="5" width="23.3303571428571" style="4" customWidth="1"/>
    <col min="6" max="6" width="9.25" style="1" customWidth="1"/>
    <col min="7" max="7" width="9.40178571428571" style="1" customWidth="1"/>
    <col min="8" max="8" width="27.25" style="1" customWidth="1"/>
    <col min="9" max="9" width="63.0267857142857" style="1" customWidth="1"/>
    <col min="10" max="10" width="10.8303571428571" style="1" customWidth="1"/>
    <col min="11" max="11" width="11" style="1" customWidth="1"/>
    <col min="12" max="12" width="10.5" style="1" customWidth="1"/>
    <col min="13" max="13" width="9.58035714285714" style="5" customWidth="1"/>
    <col min="14" max="14" width="10.5" style="5" customWidth="1"/>
    <col min="15" max="16384" width="8.25" style="1"/>
  </cols>
  <sheetData>
    <row r="1" s="1" customFormat="1" ht="31.15" customHeight="1" spans="2:14">
      <c r="B1" s="6" t="s">
        <v>0</v>
      </c>
      <c r="C1" s="6"/>
      <c r="D1" s="6"/>
      <c r="E1" s="6"/>
      <c r="F1" s="7"/>
      <c r="G1" s="7"/>
      <c r="H1" s="7"/>
      <c r="I1" s="7"/>
      <c r="J1" s="7"/>
      <c r="K1" s="7"/>
      <c r="L1" s="7"/>
      <c r="M1" s="8"/>
      <c r="N1" s="5"/>
    </row>
    <row r="2" s="1" customFormat="1" ht="21" customHeight="1" spans="2:14">
      <c r="B2" s="9" t="s">
        <v>14</v>
      </c>
      <c r="C2" s="10"/>
      <c r="D2" s="10"/>
      <c r="E2" s="10"/>
      <c r="F2" s="11"/>
      <c r="G2" s="11"/>
      <c r="H2" s="11"/>
      <c r="I2" s="11"/>
      <c r="J2" s="11"/>
      <c r="K2" s="11"/>
      <c r="L2" s="11"/>
      <c r="M2" s="12"/>
      <c r="N2" s="5"/>
    </row>
    <row r="3" s="1" customFormat="1" ht="45.4" customHeight="1" spans="2:14">
      <c r="B3" s="13" t="s">
        <v>2</v>
      </c>
      <c r="C3" s="13" t="s">
        <v>15</v>
      </c>
      <c r="D3" s="13" t="s">
        <v>16</v>
      </c>
      <c r="E3" s="13" t="s">
        <v>17</v>
      </c>
      <c r="F3" s="14" t="s">
        <v>3</v>
      </c>
      <c r="G3" s="14" t="s">
        <v>18</v>
      </c>
      <c r="H3" s="14" t="s">
        <v>4</v>
      </c>
      <c r="I3" s="15" t="s">
        <v>19</v>
      </c>
      <c r="J3" s="16" t="s">
        <v>20</v>
      </c>
      <c r="K3" s="17" t="s">
        <v>21</v>
      </c>
      <c r="L3" s="17" t="s">
        <v>22</v>
      </c>
      <c r="M3" s="18" t="s">
        <v>23</v>
      </c>
      <c r="N3" s="18" t="s">
        <v>11</v>
      </c>
    </row>
    <row r="4" s="1" customFormat="1" ht="133.15" customHeight="1" spans="2:14">
      <c r="B4" s="19" t="s">
        <v>24</v>
      </c>
      <c r="C4" s="20" t="s">
        <v>25</v>
      </c>
      <c r="D4" s="21">
        <v>1</v>
      </c>
      <c r="E4" s="20" t="s">
        <v>26</v>
      </c>
      <c r="F4" s="22">
        <v>0.6</v>
      </c>
      <c r="G4" s="23">
        <v>100</v>
      </c>
      <c r="H4" s="24" t="s">
        <v>27</v>
      </c>
      <c r="I4" s="25" t="s">
        <v>28</v>
      </c>
      <c r="J4" s="26">
        <v>90</v>
      </c>
      <c r="K4" s="26"/>
      <c r="L4" s="27"/>
      <c r="M4" s="28">
        <f>J4*0.1+K4*0.9</f>
        <v>9</v>
      </c>
      <c r="N4" s="29">
        <f>(M4*F4+M5*F5)*0.8+L4*0.2</f>
        <v>7.2</v>
      </c>
    </row>
    <row r="5" s="1" customFormat="1" ht="68" spans="2:14">
      <c r="B5" s="30"/>
      <c r="C5" s="31"/>
      <c r="D5" s="32"/>
      <c r="E5" s="33" t="s">
        <v>29</v>
      </c>
      <c r="F5" s="34">
        <v>0.4</v>
      </c>
      <c r="G5" s="35">
        <v>100</v>
      </c>
      <c r="H5" s="36"/>
      <c r="I5" s="37" t="s">
        <v>30</v>
      </c>
      <c r="J5" s="27">
        <v>90</v>
      </c>
      <c r="K5" s="27"/>
      <c r="L5" s="38"/>
      <c r="M5" s="28">
        <f t="shared" ref="M4:M10" si="0">J5*0.1+K5*0.9</f>
        <v>9</v>
      </c>
      <c r="N5" s="29"/>
    </row>
    <row r="6" s="1" customFormat="1" ht="6" customHeight="1" spans="2:14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40"/>
      <c r="N6" s="5"/>
    </row>
    <row r="7" s="1" customFormat="1" ht="84" spans="2:14">
      <c r="B7" s="41" t="s">
        <v>9</v>
      </c>
      <c r="C7" s="42" t="s">
        <v>31</v>
      </c>
      <c r="D7" s="43">
        <v>1</v>
      </c>
      <c r="E7" s="42" t="s">
        <v>32</v>
      </c>
      <c r="F7" s="44">
        <v>0.3</v>
      </c>
      <c r="G7" s="45">
        <v>100</v>
      </c>
      <c r="H7" s="36" t="s">
        <v>33</v>
      </c>
      <c r="I7" s="46" t="s">
        <v>34</v>
      </c>
      <c r="J7" s="47">
        <v>90</v>
      </c>
      <c r="K7" s="45"/>
      <c r="L7" s="36"/>
      <c r="M7" s="28">
        <f t="shared" si="0"/>
        <v>9</v>
      </c>
      <c r="N7" s="29">
        <f>(M7*F7+M8*F8+M9*F9+M10*F10)*0.8+L7*0.2</f>
        <v>7.2</v>
      </c>
    </row>
    <row r="8" s="1" customFormat="1" ht="40.9" customHeight="1" spans="2:14">
      <c r="B8" s="19"/>
      <c r="C8" s="20" t="s">
        <v>35</v>
      </c>
      <c r="D8" s="32"/>
      <c r="E8" s="48" t="s">
        <v>36</v>
      </c>
      <c r="F8" s="22">
        <v>0.3</v>
      </c>
      <c r="G8" s="23">
        <v>100</v>
      </c>
      <c r="H8" s="36"/>
      <c r="I8" s="25" t="s">
        <v>37</v>
      </c>
      <c r="J8" s="26">
        <v>90</v>
      </c>
      <c r="K8" s="23"/>
      <c r="L8" s="36"/>
      <c r="M8" s="28">
        <f t="shared" si="0"/>
        <v>9</v>
      </c>
      <c r="N8" s="29"/>
    </row>
    <row r="9" s="1" customFormat="1" ht="48" customHeight="1" spans="2:14">
      <c r="B9" s="19"/>
      <c r="C9" s="20"/>
      <c r="D9" s="32"/>
      <c r="E9" s="48" t="s">
        <v>38</v>
      </c>
      <c r="F9" s="22">
        <v>0.3</v>
      </c>
      <c r="G9" s="23">
        <v>100</v>
      </c>
      <c r="H9" s="36"/>
      <c r="I9" s="25" t="s">
        <v>39</v>
      </c>
      <c r="J9" s="26">
        <v>90</v>
      </c>
      <c r="K9" s="23"/>
      <c r="L9" s="36"/>
      <c r="M9" s="28">
        <f t="shared" si="0"/>
        <v>9</v>
      </c>
      <c r="N9" s="29"/>
    </row>
    <row r="10" s="1" customFormat="1" ht="51.6" customHeight="1" spans="2:14">
      <c r="B10" s="30"/>
      <c r="C10" s="31" t="s">
        <v>40</v>
      </c>
      <c r="D10" s="32"/>
      <c r="E10" s="31" t="s">
        <v>41</v>
      </c>
      <c r="F10" s="49">
        <v>0.1</v>
      </c>
      <c r="G10" s="24">
        <v>100</v>
      </c>
      <c r="H10" s="36"/>
      <c r="I10" s="50" t="s">
        <v>42</v>
      </c>
      <c r="J10" s="27">
        <v>90</v>
      </c>
      <c r="K10" s="24"/>
      <c r="L10" s="36"/>
      <c r="M10" s="28">
        <f t="shared" si="0"/>
        <v>9</v>
      </c>
      <c r="N10" s="29"/>
    </row>
    <row r="11" s="1" customFormat="1" ht="6" customHeight="1" spans="2:14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0"/>
      <c r="N11" s="5"/>
    </row>
    <row r="12" s="1" customFormat="1" ht="168.6" customHeight="1" spans="2:14">
      <c r="B12" s="41" t="s">
        <v>43</v>
      </c>
      <c r="C12" s="42" t="s">
        <v>44</v>
      </c>
      <c r="D12" s="43">
        <v>1</v>
      </c>
      <c r="E12" s="51" t="s">
        <v>45</v>
      </c>
      <c r="F12" s="44">
        <v>0.3</v>
      </c>
      <c r="G12" s="52">
        <v>100</v>
      </c>
      <c r="H12" s="53" t="s">
        <v>46</v>
      </c>
      <c r="I12" s="46" t="s">
        <v>47</v>
      </c>
      <c r="J12" s="47">
        <v>90</v>
      </c>
      <c r="K12" s="42"/>
      <c r="L12" s="32"/>
      <c r="M12" s="28">
        <f t="shared" ref="M12:M17" si="1">J12*0.1+K12*0.9</f>
        <v>9</v>
      </c>
      <c r="N12" s="29">
        <f>(M12*F12+M13*F13+M14*F14+M15*F15+M16*F16+M17*F17)*0.8+L12*0.2</f>
        <v>7.12</v>
      </c>
    </row>
    <row r="13" s="1" customFormat="1" ht="192.6" customHeight="1" spans="2:14">
      <c r="B13" s="19"/>
      <c r="C13" s="20" t="s">
        <v>48</v>
      </c>
      <c r="D13" s="32"/>
      <c r="E13" s="20" t="s">
        <v>49</v>
      </c>
      <c r="F13" s="22">
        <v>0.2</v>
      </c>
      <c r="G13" s="54">
        <v>100</v>
      </c>
      <c r="H13" s="53"/>
      <c r="I13" s="55" t="s">
        <v>50</v>
      </c>
      <c r="J13" s="26">
        <v>90</v>
      </c>
      <c r="K13" s="20"/>
      <c r="L13" s="32"/>
      <c r="M13" s="28">
        <f t="shared" si="1"/>
        <v>9</v>
      </c>
      <c r="N13" s="29"/>
    </row>
    <row r="14" s="2" customFormat="1" ht="178" customHeight="1" spans="2:14">
      <c r="B14" s="19"/>
      <c r="C14" s="20" t="s">
        <v>51</v>
      </c>
      <c r="D14" s="32"/>
      <c r="E14" s="20" t="s">
        <v>52</v>
      </c>
      <c r="F14" s="56">
        <v>0.2</v>
      </c>
      <c r="G14" s="23">
        <v>100</v>
      </c>
      <c r="H14" s="53"/>
      <c r="I14" s="48" t="s">
        <v>53</v>
      </c>
      <c r="J14" s="57">
        <v>90</v>
      </c>
      <c r="K14" s="57"/>
      <c r="L14" s="32"/>
      <c r="M14" s="28">
        <f t="shared" si="1"/>
        <v>9</v>
      </c>
      <c r="N14" s="29"/>
    </row>
    <row r="15" s="2" customFormat="1" ht="173" customHeight="1" spans="2:14">
      <c r="B15" s="19"/>
      <c r="C15" s="20" t="s">
        <v>54</v>
      </c>
      <c r="D15" s="32"/>
      <c r="E15" s="20" t="s">
        <v>55</v>
      </c>
      <c r="F15" s="56">
        <v>0.1</v>
      </c>
      <c r="G15" s="23">
        <v>100</v>
      </c>
      <c r="H15" s="53"/>
      <c r="I15" s="48" t="s">
        <v>56</v>
      </c>
      <c r="J15" s="57">
        <v>90</v>
      </c>
      <c r="K15" s="57"/>
      <c r="L15" s="32"/>
      <c r="M15" s="28">
        <f t="shared" si="1"/>
        <v>9</v>
      </c>
      <c r="N15" s="29"/>
    </row>
    <row r="16" s="2" customFormat="1" ht="171" customHeight="1" spans="2:14">
      <c r="B16" s="19"/>
      <c r="C16" s="20" t="s">
        <v>57</v>
      </c>
      <c r="D16" s="32"/>
      <c r="E16" s="20" t="s">
        <v>58</v>
      </c>
      <c r="F16" s="56">
        <v>0.1</v>
      </c>
      <c r="G16" s="23">
        <v>100</v>
      </c>
      <c r="H16" s="53"/>
      <c r="I16" s="48" t="s">
        <v>59</v>
      </c>
      <c r="J16" s="57">
        <v>85</v>
      </c>
      <c r="K16" s="57"/>
      <c r="L16" s="32"/>
      <c r="M16" s="28">
        <f t="shared" si="1"/>
        <v>8.5</v>
      </c>
      <c r="N16" s="29"/>
    </row>
    <row r="17" s="2" customFormat="1" ht="175" customHeight="1" spans="2:14">
      <c r="B17" s="19"/>
      <c r="C17" s="20" t="s">
        <v>60</v>
      </c>
      <c r="D17" s="42"/>
      <c r="E17" s="20" t="s">
        <v>61</v>
      </c>
      <c r="F17" s="56">
        <v>0.1</v>
      </c>
      <c r="G17" s="23">
        <v>100</v>
      </c>
      <c r="H17" s="52"/>
      <c r="I17" s="48" t="s">
        <v>62</v>
      </c>
      <c r="J17" s="57">
        <v>85</v>
      </c>
      <c r="K17" s="57"/>
      <c r="L17" s="42"/>
      <c r="M17" s="28">
        <f t="shared" si="1"/>
        <v>8.5</v>
      </c>
      <c r="N17" s="29"/>
    </row>
    <row r="18" s="2" customFormat="1" ht="41.45" customHeight="1" spans="2:14">
      <c r="B18" s="58" t="s">
        <v>11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  <c r="M18" s="61">
        <f>N4*0.3+N7*0.4+N12*0.3</f>
        <v>7.176</v>
      </c>
      <c r="N18" s="62"/>
    </row>
    <row r="19" s="1" customFormat="1" ht="49" customHeight="1" spans="2:14">
      <c r="B19" s="63" t="s">
        <v>63</v>
      </c>
      <c r="C19" s="64"/>
      <c r="D19" s="64"/>
      <c r="E19" s="64"/>
      <c r="F19" s="64"/>
      <c r="G19" s="64"/>
      <c r="H19" s="64"/>
      <c r="I19" s="63" t="s">
        <v>64</v>
      </c>
      <c r="J19" s="64"/>
      <c r="K19" s="64"/>
      <c r="L19" s="64"/>
      <c r="M19" s="65"/>
      <c r="N19" s="5"/>
    </row>
  </sheetData>
  <sheetProtection algorithmName="SHA-512" hashValue="tg/Saq22mmEzahJeni5h11Wxo0N2RdoB0lylFJvCVInYuUt/oekdLssRVew0pzWI9O0Y3hkChbuOiABKDsyJMg==" saltValue="AwW+1cyflJ+qpJCYs9CmPw==" spinCount="100000" sheet="1" objects="1"/>
  <mergeCells count="22">
    <mergeCell ref="B1:M1"/>
    <mergeCell ref="B2:M2"/>
    <mergeCell ref="B18:L18"/>
    <mergeCell ref="B19:H19"/>
    <mergeCell ref="I19:M19"/>
    <mergeCell ref="B4:B5"/>
    <mergeCell ref="B7:B10"/>
    <mergeCell ref="B12:B17"/>
    <mergeCell ref="C4:C5"/>
    <mergeCell ref="C8:C9"/>
    <mergeCell ref="D4:D5"/>
    <mergeCell ref="D7:D10"/>
    <mergeCell ref="D12:D17"/>
    <mergeCell ref="H4:H5"/>
    <mergeCell ref="H7:H10"/>
    <mergeCell ref="H12:H17"/>
    <mergeCell ref="L4:L5"/>
    <mergeCell ref="L7:L10"/>
    <mergeCell ref="L12:L17"/>
    <mergeCell ref="N4:N5"/>
    <mergeCell ref="N7:N10"/>
    <mergeCell ref="N12:N17"/>
  </mergeCells>
  <printOptions horizontalCentered="1" verticalCentered="1"/>
  <pageMargins left="0.0393700787401575" right="0.0393700787401575" top="0.196850393700787" bottom="0.196850393700787" header="0" footer="0"/>
  <pageSetup paperSize="9" scale="48" fitToWidth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研发岗</vt:lpstr>
      <vt:lpstr>研发岗明细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开宇 方</dc:creator>
  <cp:lastModifiedBy>愚公</cp:lastModifiedBy>
  <dcterms:created xsi:type="dcterms:W3CDTF">2025-03-16T06:09:00Z</dcterms:created>
  <cp:lastPrinted>2025-03-22T05:35:00Z</cp:lastPrinted>
  <dcterms:modified xsi:type="dcterms:W3CDTF">2026-07-16T11:04:30Z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FAFACD4460368072897DC269227A8115_43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